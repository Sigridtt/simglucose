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gridtt\Documents\project\simglucose\examples\results\ablation_5conditions\"/>
    </mc:Choice>
  </mc:AlternateContent>
  <xr:revisionPtr revIDLastSave="0" documentId="8_{DB4F5518-397F-4556-967C-E6E2207184F2}" xr6:coauthVersionLast="47" xr6:coauthVersionMax="47" xr10:uidLastSave="{00000000-0000-0000-0000-000000000000}"/>
  <bookViews>
    <workbookView xWindow="-31905" yWindow="3870" windowWidth="28800" windowHeight="15435" activeTab="3" xr2:uid="{091AD87F-944C-4781-9E66-8457923CBF9E}"/>
  </bookViews>
  <sheets>
    <sheet name="Loop" sheetId="2" r:id="rId1"/>
    <sheet name="Autotune" sheetId="4" r:id="rId2"/>
    <sheet name="Autosens" sheetId="5" r:id="rId3"/>
    <sheet name="Sheet1" sheetId="3" r:id="rId4"/>
  </sheets>
  <definedNames>
    <definedName name="ExternalData_1" localSheetId="2" hidden="1">Autosens!$A$1:$I$32</definedName>
    <definedName name="ExternalData_1" localSheetId="1" hidden="1">Autotune!$A$1:$I$32</definedName>
    <definedName name="ExternalData_1" localSheetId="0" hidden="1">Loop!$A$1:$I$32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AA2F77-A4BE-4E44-A187-585099ACBC4B}" keepAlive="1" name="Query - performance_stats" description="Connection to the 'performance_stats' query in the workbook." type="5" refreshedVersion="8" background="1" saveData="1">
    <dbPr connection="Provider=Microsoft.Mashup.OleDb.1;Data Source=$Workbook$;Location=performance_stats;Extended Properties=&quot;&quot;" command="SELECT * FROM [performance_stats]"/>
  </connection>
  <connection id="2" xr16:uid="{2AD7072A-5FA6-4857-A503-3803D06EEE8D}" keepAlive="1" name="Query - performance_stats (2)" description="Connection to the 'performance_stats (2)' query in the workbook." type="5" refreshedVersion="8" background="1" saveData="1">
    <dbPr connection="Provider=Microsoft.Mashup.OleDb.1;Data Source=$Workbook$;Location=&quot;performance_stats (2)&quot;;Extended Properties=&quot;&quot;" command="SELECT * FROM [performance_stats (2)]"/>
  </connection>
  <connection id="3" xr16:uid="{583AAB1E-7C14-4153-8E44-CB10D1BC6C9F}" keepAlive="1" name="Query - performance_stats (3)" description="Connection to the 'performance_stats (3)' query in the workbook." type="5" refreshedVersion="8" background="1" saveData="1">
    <dbPr connection="Provider=Microsoft.Mashup.OleDb.1;Data Source=$Workbook$;Location=&quot;performance_stats (3)&quot;;Extended Properties=&quot;&quot;" command="SELECT * FROM [performance_stats (3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<sst xmlns="http://schemas.openxmlformats.org/spreadsheetml/2006/main" count="896" uniqueCount="587">
  <si>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</si>
  <si>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</si>
  <si>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</si>
  <si>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</si>
  <si>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</si>
  <si>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</si>
  <si>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</si>
  <si>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</si>
  <si>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</si>
  <si>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/>
  </si>
  <si>
    <t>70&lt;=BG&lt;=180</t>
  </si>
  <si>
    <t>BG&gt;180</t>
  </si>
  <si>
    <t>BG&lt;70</t>
  </si>
  <si>
    <t>BG&gt;250</t>
  </si>
  <si>
    <t>BG&lt;50</t>
  </si>
  <si>
    <t>LBGI</t>
  </si>
  <si>
    <t>HBGI</t>
  </si>
  <si>
    <t>Risk Index</t>
  </si>
  <si>
    <t>adolescent#001</t>
  </si>
  <si>
    <t>100.0</t>
  </si>
  <si>
    <t>0.0</t>
  </si>
  <si>
    <t>0.002800364156036273</t>
  </si>
  <si>
    <t>0.6096901502075043</t>
  </si>
  <si>
    <t>0.6124905143635404</t>
  </si>
  <si>
    <t>adolescent#002</t>
  </si>
  <si>
    <t>54.45078105628565</t>
  </si>
  <si>
    <t>36.47408876766675</t>
  </si>
  <si>
    <t>9.075130176047608</t>
  </si>
  <si>
    <t>5.355814530126457</t>
  </si>
  <si>
    <t>1.388544507810563</t>
  </si>
  <si>
    <t>2.0429738529353676</t>
  </si>
  <si>
    <t>6.676376615219833</t>
  </si>
  <si>
    <t>8.719350468155199</t>
  </si>
  <si>
    <t>adolescent#003</t>
  </si>
  <si>
    <t>86.3873047359286</t>
  </si>
  <si>
    <t>13.612695264071412</t>
  </si>
  <si>
    <t>0.14877262583684603</t>
  </si>
  <si>
    <t>0.05080895421024507</t>
  </si>
  <si>
    <t>3.0895778173601345</t>
  </si>
  <si>
    <t>3.1403867715703795</t>
  </si>
  <si>
    <t>adolescent#004</t>
  </si>
  <si>
    <t>79.74212744854947</t>
  </si>
  <si>
    <t>19.761963798661046</t>
  </si>
  <si>
    <t>0.49590875278948676</t>
  </si>
  <si>
    <t>0.4463178775105381</t>
  </si>
  <si>
    <t>0.2945808666101434</t>
  </si>
  <si>
    <t>3.8426015356036256</t>
  </si>
  <si>
    <t>4.137182402213769</t>
  </si>
  <si>
    <t>adolescent#005</t>
  </si>
  <si>
    <t>71.16290602529135</t>
  </si>
  <si>
    <t>28.365980659558645</t>
  </si>
  <si>
    <t>0.4711133151500124</t>
  </si>
  <si>
    <t>8.00892635755021</t>
  </si>
  <si>
    <t>0.41531320492597823</t>
  </si>
  <si>
    <t>5.869383379160977</t>
  </si>
  <si>
    <t>6.284696584086956</t>
  </si>
  <si>
    <t>adolescent#006</t>
  </si>
  <si>
    <t>93.18125464914456</t>
  </si>
  <si>
    <t>6.818745350855443</t>
  </si>
  <si>
    <t>0.06195228350001878</t>
  </si>
  <si>
    <t>1.8366463007496103</t>
  </si>
  <si>
    <t>1.898598584249629</t>
  </si>
  <si>
    <t>adolescent#007</t>
  </si>
  <si>
    <t>58.66600545499628</t>
  </si>
  <si>
    <t>36.573270518224646</t>
  </si>
  <si>
    <t>4.760724026779073</t>
  </si>
  <si>
    <t>15.249194148276718</t>
  </si>
  <si>
    <t>0.2727498140342177</t>
  </si>
  <si>
    <t>1.3333185400049852</t>
  </si>
  <si>
    <t>8.558721690217407</t>
  </si>
  <si>
    <t>9.892040230222392</t>
  </si>
  <si>
    <t>adolescent#008</t>
  </si>
  <si>
    <t>64.81527398958592</t>
  </si>
  <si>
    <t>32.55640962062981</t>
  </si>
  <si>
    <t>2.62831638978428</t>
  </si>
  <si>
    <t>10.463674683858171</t>
  </si>
  <si>
    <t>1.056952810685519</t>
  </si>
  <si>
    <t>6.913977738887315</t>
  </si>
  <si>
    <t>7.970930549572834</t>
  </si>
  <si>
    <t>adolescent#009</t>
  </si>
  <si>
    <t>83.16389784279693</t>
  </si>
  <si>
    <t>16.836102157203076</t>
  </si>
  <si>
    <t>0.12024108192493095</t>
  </si>
  <si>
    <t>3.2492911197710455</t>
  </si>
  <si>
    <t>3.369532201695976</t>
  </si>
  <si>
    <t>adolescent#010</t>
  </si>
  <si>
    <t>95.61120753781304</t>
  </si>
  <si>
    <t>3.9176791470369454</t>
  </si>
  <si>
    <t>0.15340133873013487</t>
  </si>
  <si>
    <t>2.013327344331686</t>
  </si>
  <si>
    <t>2.166728683061821</t>
  </si>
  <si>
    <t>adult#001</t>
  </si>
  <si>
    <t>90.0570295065708</t>
  </si>
  <si>
    <t>9.94297049342921</t>
  </si>
  <si>
    <t>0.33646611814185845</t>
  </si>
  <si>
    <t>2.663589000475436</t>
  </si>
  <si>
    <t>3.000055118617295</t>
  </si>
  <si>
    <t>adult#002</t>
  </si>
  <si>
    <t>99.20654599553683</t>
  </si>
  <si>
    <t>0.7934540044631788</t>
  </si>
  <si>
    <t>0.16164396799814854</t>
  </si>
  <si>
    <t>1.1360997785914533</t>
  </si>
  <si>
    <t>1.297743746589602</t>
  </si>
  <si>
    <t>adult#003</t>
  </si>
  <si>
    <t>96.47904785519465</t>
  </si>
  <si>
    <t>3.520952144805356</t>
  </si>
  <si>
    <t>0.0070430275442509415</t>
  </si>
  <si>
    <t>1.8367826073059814</t>
  </si>
  <si>
    <t>1.8438256348502322</t>
  </si>
  <si>
    <t>adult#004</t>
  </si>
  <si>
    <t>87.27994049094967</t>
  </si>
  <si>
    <t>12.720059509050335</t>
  </si>
  <si>
    <t>0.5207041904289611</t>
  </si>
  <si>
    <t>0.018012380293592322</t>
  </si>
  <si>
    <t>2.5899002603622217</t>
  </si>
  <si>
    <t>2.6079126406558144</t>
  </si>
  <si>
    <t>adult#005</t>
  </si>
  <si>
    <t>95.48723034961567</t>
  </si>
  <si>
    <t>4.51276965038433</t>
  </si>
  <si>
    <t>0.07416490601071371</t>
  </si>
  <si>
    <t>1.822937490655631</t>
  </si>
  <si>
    <t>1.897102396666345</t>
  </si>
  <si>
    <t>adult#006</t>
  </si>
  <si>
    <t>91.32159682618398</t>
  </si>
  <si>
    <t>8.678403173816019</t>
  </si>
  <si>
    <t>0.059370314604841275</t>
  </si>
  <si>
    <t>2.6660675215735403</t>
  </si>
  <si>
    <t>2.725437836178381</t>
  </si>
  <si>
    <t>adult#007</t>
  </si>
  <si>
    <t>98.38829655343417</t>
  </si>
  <si>
    <t>1.611703446565832</t>
  </si>
  <si>
    <t>0.04061313014836015</t>
  </si>
  <si>
    <t>1.6455332471507653</t>
  </si>
  <si>
    <t>1.6861463772991254</t>
  </si>
  <si>
    <t>adult#008</t>
  </si>
  <si>
    <t>98.76022811802628</t>
  </si>
  <si>
    <t>1.239771881973717</t>
  </si>
  <si>
    <t>0.03706477165198314</t>
  </si>
  <si>
    <t>1.0807446262780853</t>
  </si>
  <si>
    <t>1.1178093979300683</t>
  </si>
  <si>
    <t>adult#009</t>
  </si>
  <si>
    <t>65.90627324572279</t>
  </si>
  <si>
    <t>18.993305231837343</t>
  </si>
  <si>
    <t>15.100421522439872</t>
  </si>
  <si>
    <t>1.1405901314158196</t>
  </si>
  <si>
    <t>1.8844532606000497</t>
  </si>
  <si>
    <t>2.712538236708703</t>
  </si>
  <si>
    <t>3.6847941341072947</t>
  </si>
  <si>
    <t>6.397332370815997</t>
  </si>
  <si>
    <t>adult#010</t>
  </si>
  <si>
    <t>85.76741879494173</t>
  </si>
  <si>
    <t>14.23258120505827</t>
  </si>
  <si>
    <t>0.23483401784681845</t>
  </si>
  <si>
    <t>3.223034867895353</t>
  </si>
  <si>
    <t>3.4578688857421715</t>
  </si>
  <si>
    <t>child#001</t>
  </si>
  <si>
    <t>74.38631291842302</t>
  </si>
  <si>
    <t>15.397966774113565</t>
  </si>
  <si>
    <t>10.215720307463428</t>
  </si>
  <si>
    <t>5.851723282915944</t>
  </si>
  <si>
    <t>2.371919520276355</t>
  </si>
  <si>
    <t>4.002165964063217</t>
  </si>
  <si>
    <t>6.37408548433957</t>
  </si>
  <si>
    <t>child#002</t>
  </si>
  <si>
    <t>85.39548723034962</t>
  </si>
  <si>
    <t>13.31515001239772</t>
  </si>
  <si>
    <t>1.2893627572526656</t>
  </si>
  <si>
    <t>0.1983635011157947</t>
  </si>
  <si>
    <t>0.7010638008634434</t>
  </si>
  <si>
    <t>2.9405102905958986</t>
  </si>
  <si>
    <t>3.641574091459342</t>
  </si>
  <si>
    <t>child#003</t>
  </si>
  <si>
    <t>59.23630052070419</t>
  </si>
  <si>
    <t>22.811802628316393</t>
  </si>
  <si>
    <t>17.95189685097942</t>
  </si>
  <si>
    <t>10.240515745102902</t>
  </si>
  <si>
    <t>4.296928159480656</t>
  </si>
  <si>
    <t>6.004110936977905</t>
  </si>
  <si>
    <t>10.301039096458561</t>
  </si>
  <si>
    <t>child#004</t>
  </si>
  <si>
    <t>89.33796181502603</t>
  </si>
  <si>
    <t>5.454996280684354</t>
  </si>
  <si>
    <t>5.207041904289611</t>
  </si>
  <si>
    <t>0.8182494421026532</t>
  </si>
  <si>
    <t>1.7915822082188466</t>
  </si>
  <si>
    <t>1.4607876226727157</t>
  </si>
  <si>
    <t>3.252369830891562</t>
  </si>
  <si>
    <t>child#005</t>
  </si>
  <si>
    <t>86.11455492189437</t>
  </si>
  <si>
    <t>1.5125216960079346</t>
  </si>
  <si>
    <t>12.372923382097694</t>
  </si>
  <si>
    <t>2.429952888668485</t>
  </si>
  <si>
    <t>3.0554331086898023</t>
  </si>
  <si>
    <t>0.6198542316770214</t>
  </si>
  <si>
    <t>3.675287340366823</t>
  </si>
  <si>
    <t>child#006</t>
  </si>
  <si>
    <t>76.22117530374412</t>
  </si>
  <si>
    <t>19.414827671708405</t>
  </si>
  <si>
    <t>4.3639970245474835</t>
  </si>
  <si>
    <t>6.545995536821225</t>
  </si>
  <si>
    <t>0.7686585668237045</t>
  </si>
  <si>
    <t>1.3361925746460708</t>
  </si>
  <si>
    <t>4.570004072784577</t>
  </si>
  <si>
    <t>5.906196647430648</t>
  </si>
  <si>
    <t>child#007</t>
  </si>
  <si>
    <t>96.87577485742624</t>
  </si>
  <si>
    <t>2.6531118274237544</t>
  </si>
  <si>
    <t>1.3368541896334607</t>
  </si>
  <si>
    <t>0.48517440989831107</t>
  </si>
  <si>
    <t>1.8220285995317715</t>
  </si>
  <si>
    <t>child#008</t>
  </si>
  <si>
    <t>13.116786511281925</t>
  </si>
  <si>
    <t>71.63401934044136</t>
  </si>
  <si>
    <t>11.65385569055294</t>
  </si>
  <si>
    <t>69.60079345400446</t>
  </si>
  <si>
    <t>21.826646366478887</t>
  </si>
  <si>
    <t>15.073428668288921</t>
  </si>
  <si>
    <t>36.90007503476781</t>
  </si>
  <si>
    <t>child#009</t>
  </si>
  <si>
    <t>89.56112075378131</t>
  </si>
  <si>
    <t>10.438879246218697</t>
  </si>
  <si>
    <t>0.4177401756516924</t>
  </si>
  <si>
    <t>1.939214276300427</t>
  </si>
  <si>
    <t>2.356954451952119</t>
  </si>
  <si>
    <t>child#010</t>
  </si>
  <si>
    <t>62.53409372675428</t>
  </si>
  <si>
    <t>25.638482519216467</t>
  </si>
  <si>
    <t>11.82742375402926</t>
  </si>
  <si>
    <t>14.976444334242501</t>
  </si>
  <si>
    <t>4.041656335234317</t>
  </si>
  <si>
    <t>2.9163149511607083</t>
  </si>
  <si>
    <t>7.77044277455772</t>
  </si>
  <si>
    <t>10.68675772571843</t>
  </si>
  <si>
    <t>0.0068273633730936145</t>
  </si>
  <si>
    <t>0.48457981865272565</t>
  </si>
  <si>
    <t>0.4914071820258193</t>
  </si>
  <si>
    <t>53.48375898834614</t>
  </si>
  <si>
    <t>35.085544259856185</t>
  </si>
  <si>
    <t>11.43069675179767</t>
  </si>
  <si>
    <t>4.785519464418547</t>
  </si>
  <si>
    <t>2.553930076865857</t>
  </si>
  <si>
    <t>2.508249998375675</t>
  </si>
  <si>
    <t>6.463762899721716</t>
  </si>
  <si>
    <t>8.97201289809739</t>
  </si>
  <si>
    <t>88.1229853706918</t>
  </si>
  <si>
    <t>0.22315893875526904</t>
  </si>
  <si>
    <t>0.11008009734559647</t>
  </si>
  <si>
    <t>2.7420634551888634</t>
  </si>
  <si>
    <t>2.8521435525344603</t>
  </si>
  <si>
    <t>80.90751301760476</t>
  </si>
  <si>
    <t>18.497396479047858</t>
  </si>
  <si>
    <t>0.5950905033473841</t>
  </si>
  <si>
    <t>0.24795437639474338</t>
  </si>
  <si>
    <t>0.43317875836997205</t>
  </si>
  <si>
    <t>3.5935363017800377</t>
  </si>
  <si>
    <t>4.02671506015001</t>
  </si>
  <si>
    <t>71.43565583932556</t>
  </si>
  <si>
    <t>27.72129928093231</t>
  </si>
  <si>
    <t>0.8430448797421275</t>
  </si>
  <si>
    <t>7.4882221671212505</t>
  </si>
  <si>
    <t>0.5872382814864864</t>
  </si>
  <si>
    <t>5.754763746991684</t>
  </si>
  <si>
    <t>6.342002028478173</t>
  </si>
  <si>
    <t>93.85073146541036</t>
  </si>
  <si>
    <t>6.149268534589636</t>
  </si>
  <si>
    <t>0.09958592454017046</t>
  </si>
  <si>
    <t>1.7122650774489532</t>
  </si>
  <si>
    <t>1.8118510019891236</t>
  </si>
  <si>
    <t>58.269278452764695</t>
  </si>
  <si>
    <t>35.77981651376147</t>
  </si>
  <si>
    <t>5.950905033473841</t>
  </si>
  <si>
    <t>15.19960327299777</t>
  </si>
  <si>
    <t>0.5702950657079098</t>
  </si>
  <si>
    <t>1.5415113919753818</t>
  </si>
  <si>
    <t>8.414839242561627</t>
  </si>
  <si>
    <t>9.956350634537008</t>
  </si>
  <si>
    <t>64.36895611207538</t>
  </si>
  <si>
    <t>31.812546491445577</t>
  </si>
  <si>
    <t>3.818497396479048</t>
  </si>
  <si>
    <t>10.190924869823952</t>
  </si>
  <si>
    <t>0.3967270022315894</t>
  </si>
  <si>
    <t>1.253808972160116</t>
  </si>
  <si>
    <t>6.752963573749998</t>
  </si>
  <si>
    <t>8.006772545910113</t>
  </si>
  <si>
    <t>85.42028266798908</t>
  </si>
  <si>
    <t>14.579717332010912</t>
  </si>
  <si>
    <t>0.18402523578393448</t>
  </si>
  <si>
    <t>3.0077822403928463</t>
  </si>
  <si>
    <t>3.1918074761767805</t>
  </si>
  <si>
    <t>95.43763947433672</t>
  </si>
  <si>
    <t>3.967270022315894</t>
  </si>
  <si>
    <t>0.2558906472780602</t>
  </si>
  <si>
    <t>1.904582900049508</t>
  </si>
  <si>
    <t>2.1604735473275682</t>
  </si>
  <si>
    <t>91.29680138854451</t>
  </si>
  <si>
    <t>8.703198611455493</t>
  </si>
  <si>
    <t>0.44641168436077344</t>
  </si>
  <si>
    <t>2.4401680358579076</t>
  </si>
  <si>
    <t>2.886579720218681</t>
  </si>
  <si>
    <t>99.45450037193156</t>
  </si>
  <si>
    <t>0.5454996280684354</t>
  </si>
  <si>
    <t>0.2297056504030262</t>
  </si>
  <si>
    <t>1.0261985871824901</t>
  </si>
  <si>
    <t>1.2559042375855163</t>
  </si>
  <si>
    <t>97.07413835854203</t>
  </si>
  <si>
    <t>2.925861641457972</t>
  </si>
  <si>
    <t>0.01878688285670796</t>
  </si>
  <si>
    <t>1.630859947077278</t>
  </si>
  <si>
    <t>1.6496468299339857</t>
  </si>
  <si>
    <t>89.28837093974708</t>
  </si>
  <si>
    <t>10.711629060252914</t>
  </si>
  <si>
    <t>0.3223406893131664</t>
  </si>
  <si>
    <t>0.04670012758275527</t>
  </si>
  <si>
    <t>2.1270049100262893</t>
  </si>
  <si>
    <t>2.1737050376090443</t>
  </si>
  <si>
    <t>95.95834366476569</t>
  </si>
  <si>
    <t>0.11030969185888674</t>
  </si>
  <si>
    <t>1.6644963559671073</t>
  </si>
  <si>
    <t>1.7748060478259942</t>
  </si>
  <si>
    <t>91.91668732953137</t>
  </si>
  <si>
    <t>7.835358294073891</t>
  </si>
  <si>
    <t>0.12115989272194969</t>
  </si>
  <si>
    <t>2.431138930368345</t>
  </si>
  <si>
    <t>2.5522988230902945</t>
  </si>
  <si>
    <t>99.10736424497892</t>
  </si>
  <si>
    <t>0.8926357550210762</t>
  </si>
  <si>
    <t>0.06801782273654375</t>
  </si>
  <si>
    <t>1.2716867183097382</t>
  </si>
  <si>
    <t>1.339704541046282</t>
  </si>
  <si>
    <t>99.00818249442102</t>
  </si>
  <si>
    <t>0.9918175055789735</t>
  </si>
  <si>
    <t>0.066175958841285</t>
  </si>
  <si>
    <t>0.9178111491920861</t>
  </si>
  <si>
    <t>0.983987108033371</t>
  </si>
  <si>
    <t>65.6087279940491</t>
  </si>
  <si>
    <t>17.579965286387306</t>
  </si>
  <si>
    <t>16.8113067195636</t>
  </si>
  <si>
    <t>0.9670220679394992</t>
  </si>
  <si>
    <t>3.4713612695264073</t>
  </si>
  <si>
    <t>3.224602854792314</t>
  </si>
  <si>
    <t>3.5318593566992744</t>
  </si>
  <si>
    <t>6.756462211491588</t>
  </si>
  <si>
    <t>13.88544507810563</t>
  </si>
  <si>
    <t>0.3187613831843112</t>
  </si>
  <si>
    <t>3.0728041267007247</t>
  </si>
  <si>
    <t>3.391565509885036</t>
  </si>
  <si>
    <t>70.24547483263079</t>
  </si>
  <si>
    <t>15.59633027522936</t>
  </si>
  <si>
    <t>14.158194892139846</t>
  </si>
  <si>
    <t>5.901314158194893</t>
  </si>
  <si>
    <t>1.5869080089263576</t>
  </si>
  <si>
    <t>3.09714775167043</t>
  </si>
  <si>
    <t>4.209828661000723</t>
  </si>
  <si>
    <t>7.306976412671152</t>
  </si>
  <si>
    <t>85.51946441854699</t>
  </si>
  <si>
    <t>12.819241259608233</t>
  </si>
  <si>
    <t>1.6612943218447807</t>
  </si>
  <si>
    <t>0.42152243987106375</t>
  </si>
  <si>
    <t>0.9601439513241626</t>
  </si>
  <si>
    <t>2.8074789546216086</t>
  </si>
  <si>
    <t>3.767622905945771</t>
  </si>
  <si>
    <t>57.10389288370939</t>
  </si>
  <si>
    <t>21.646417059261097</t>
  </si>
  <si>
    <t>21.249690057029508</t>
  </si>
  <si>
    <t>10.166129432184478</t>
  </si>
  <si>
    <t>6.273245722787007</t>
  </si>
  <si>
    <t>5.291316869000157</t>
  </si>
  <si>
    <t>5.830453440729784</t>
  </si>
  <si>
    <t>11.121770309729941</t>
  </si>
  <si>
    <t>81.00669476816266</t>
  </si>
  <si>
    <t>7.041904289610712</t>
  </si>
  <si>
    <t>11.95140094222663</t>
  </si>
  <si>
    <t>1.1157946937763452</t>
  </si>
  <si>
    <t>3.37217951896851</t>
  </si>
  <si>
    <t>3.443994748887001</t>
  </si>
  <si>
    <t>1.759349420008263</t>
  </si>
  <si>
    <t>5.203344168895264</t>
  </si>
  <si>
    <t>82.69278452764691</t>
  </si>
  <si>
    <t>3.7937019588395735</t>
  </si>
  <si>
    <t>13.513513513513514</t>
  </si>
  <si>
    <t>2.3803620133895365</t>
  </si>
  <si>
    <t>3.372979545640725</t>
  </si>
  <si>
    <t>0.8510555285428528</t>
  </si>
  <si>
    <t>4.224035074183578</t>
  </si>
  <si>
    <t>73.7168361021572</t>
  </si>
  <si>
    <t>18.894123481279447</t>
  </si>
  <si>
    <t>7.389040416563352</t>
  </si>
  <si>
    <t>6.248450285147533</t>
  </si>
  <si>
    <t>0.9422266303000248</t>
  </si>
  <si>
    <t>1.90553984840485</t>
  </si>
  <si>
    <t>4.34702283680878</t>
  </si>
  <si>
    <t>6.25256268521363</t>
  </si>
  <si>
    <t>92.43739151996033</t>
  </si>
  <si>
    <t>1.165385569055294</t>
  </si>
  <si>
    <t>6.397222910984379</t>
  </si>
  <si>
    <t>1.702047170269461</t>
  </si>
  <si>
    <t>0.5831115870060829</t>
  </si>
  <si>
    <t>2.2851587572755436</t>
  </si>
  <si>
    <t>13.067195636002976</t>
  </si>
  <si>
    <t>15.075626084800398</t>
  </si>
  <si>
    <t>71.85717827919663</t>
  </si>
  <si>
    <t>11.505083064716093</t>
  </si>
  <si>
    <t>69.87354326803869</t>
  </si>
  <si>
    <t>24.39530237205756</t>
  </si>
  <si>
    <t>14.943829932343197</t>
  </si>
  <si>
    <t>39.33913230440077</t>
  </si>
  <si>
    <t>9.769402429952889</t>
  </si>
  <si>
    <t>0.17356806347632037</t>
  </si>
  <si>
    <t>0.7190676915447558</t>
  </si>
  <si>
    <t>0.6122590543775553</t>
  </si>
  <si>
    <t>1.8237320320047108</t>
  </si>
  <si>
    <t>2.4359910863822667</t>
  </si>
  <si>
    <t>61.24473096950162</t>
  </si>
  <si>
    <t>25.26655095462435</t>
  </si>
  <si>
    <t>13.48871807587404</t>
  </si>
  <si>
    <t>14.480535581453013</t>
  </si>
  <si>
    <t>3.3801300252885977</t>
  </si>
  <si>
    <t>7.693811369135644</t>
  </si>
  <si>
    <t>11.073941394424242</t>
  </si>
  <si>
    <t>0.013939033354978444</t>
  </si>
  <si>
    <t>0.38994707686258434</t>
  </si>
  <si>
    <t>0.40388611021756277</t>
  </si>
  <si>
    <t>53.45896355070667</t>
  </si>
  <si>
    <t>34.63922638234565</t>
  </si>
  <si>
    <t>11.901810066947682</t>
  </si>
  <si>
    <t>4.611951400942226</t>
  </si>
  <si>
    <t>2.5623702271045268</t>
  </si>
  <si>
    <t>6.4087899899331955</t>
  </si>
  <si>
    <t>8.971160217037722</t>
  </si>
  <si>
    <t>88.5940986858418</t>
  </si>
  <si>
    <t>11.058765187205555</t>
  </si>
  <si>
    <t>0.34713612695264073</t>
  </si>
  <si>
    <t>0.1423535044951353</t>
  </si>
  <si>
    <t>2.590824099437185</t>
  </si>
  <si>
    <t>2.73317760393232</t>
  </si>
  <si>
    <t>81.94892139846269</t>
  </si>
  <si>
    <t>17.356806347632038</t>
  </si>
  <si>
    <t>0.6942722539052815</t>
  </si>
  <si>
    <t>0.5317464018806026</t>
  </si>
  <si>
    <t>3.3967788634677554</t>
  </si>
  <si>
    <t>3.928525265348359</t>
  </si>
  <si>
    <t>71.33647408876766</t>
  </si>
  <si>
    <t>7.88494916935284</t>
  </si>
  <si>
    <t>0.6224608782615471</t>
  </si>
  <si>
    <t>5.79384111540288</t>
  </si>
  <si>
    <t>6.416301993664426</t>
  </si>
  <si>
    <t>94.07389040416564</t>
  </si>
  <si>
    <t>5.926109595834367</t>
  </si>
  <si>
    <t>0.1212525896455052</t>
  </si>
  <si>
    <t>1.616730972077338</t>
  </si>
  <si>
    <t>1.7379835617228436</t>
  </si>
  <si>
    <t>58.24448301512521</t>
  </si>
  <si>
    <t>35.70543020084305</t>
  </si>
  <si>
    <t>6.0500867840317385</t>
  </si>
  <si>
    <t>15.15001239771882</t>
  </si>
  <si>
    <t>1.5530861178579094</t>
  </si>
  <si>
    <t>8.396359911940777</t>
  </si>
  <si>
    <t>9.949446029798688</t>
  </si>
  <si>
    <t>64.41854698735433</t>
  </si>
  <si>
    <t>31.738160178527153</t>
  </si>
  <si>
    <t>3.8432928341185226</t>
  </si>
  <si>
    <t>10.11653855690553</t>
  </si>
  <si>
    <t>1.2747459329051185</t>
  </si>
  <si>
    <t>6.730274548145039</t>
  </si>
  <si>
    <t>8.005020481050158</t>
  </si>
  <si>
    <t>0.2265390517022236</t>
  </si>
  <si>
    <t>2.847616822009046</t>
  </si>
  <si>
    <t>3.07415587371127</t>
  </si>
  <si>
    <t>95.21448053558146</t>
  </si>
  <si>
    <t>0.7438631291842301</t>
  </si>
  <si>
    <t>0.3906726203876204</t>
  </si>
  <si>
    <t>1.6866924996827986</t>
  </si>
  <si>
    <t>2.077365120070419</t>
  </si>
  <si>
    <t>91.792710141334</t>
  </si>
  <si>
    <t>8.033721795189685</t>
  </si>
  <si>
    <t>0.6042035980115166</t>
  </si>
  <si>
    <t>2.218143311026204</t>
  </si>
  <si>
    <t>2.8223469090377202</t>
  </si>
  <si>
    <t>99.8016364988842</t>
  </si>
  <si>
    <t>0.3358813974388849</t>
  </si>
  <si>
    <t>0.8767365032190794</t>
  </si>
  <si>
    <t>1.2126179006579643</t>
  </si>
  <si>
    <t>98.06595586412101</t>
  </si>
  <si>
    <t>1.9340441358789984</t>
  </si>
  <si>
    <t>0.04741740760853207</t>
  </si>
  <si>
    <t>1.3028271035352148</t>
  </si>
  <si>
    <t>1.3502445111437469</t>
  </si>
  <si>
    <t>89.4619390032234</t>
  </si>
  <si>
    <t>10.538060996776593</t>
  </si>
  <si>
    <t>0.37193156459211507</t>
  </si>
  <si>
    <t>0.045796624751523345</t>
  </si>
  <si>
    <t>2.126056963256269</t>
  </si>
  <si>
    <t>2.1718535880077923</t>
  </si>
  <si>
    <t>96.82618398214728</t>
  </si>
  <si>
    <t>3.1738160178527153</t>
  </si>
  <si>
    <t>0.16252486293822085</t>
  </si>
  <si>
    <t>1.4491151349011024</t>
  </si>
  <si>
    <t>1.6116399978393237</t>
  </si>
  <si>
    <t>7.686585668237045</t>
  </si>
  <si>
    <t>0.2053544136256567</t>
  </si>
  <si>
    <t>2.262575289130728</t>
  </si>
  <si>
    <t>2.4679297027563845</t>
  </si>
  <si>
    <t>99.28093230845525</t>
  </si>
  <si>
    <t>0.12478871306015586</t>
  </si>
  <si>
    <t>1.0362184541338482</t>
  </si>
  <si>
    <t>1.1610071671940039</t>
  </si>
  <si>
    <t>99.30572774609472</t>
  </si>
  <si>
    <t>0.12309776561673286</t>
  </si>
  <si>
    <t>0.7719627472627689</t>
  </si>
  <si>
    <t>0.8950605128795017</t>
  </si>
  <si>
    <t>65.55913711877015</t>
  </si>
  <si>
    <t>17.282420034713613</t>
  </si>
  <si>
    <t>17.15844284651624</t>
  </si>
  <si>
    <t>3.323574592323219</t>
  </si>
  <si>
    <t>3.4869224201173186</t>
  </si>
  <si>
    <t>6.810497012440537</t>
  </si>
  <si>
    <t>86.98239523927597</t>
  </si>
  <si>
    <t>13.017604760724028</t>
  </si>
  <si>
    <t>0.40040111421945634</t>
  </si>
  <si>
    <t>2.881462443794684</t>
  </si>
  <si>
    <t>3.281863558014141</t>
  </si>
  <si>
    <t>72.60104140838087</t>
  </si>
  <si>
    <t>12.000991817505579</t>
  </si>
  <si>
    <t>5.975700471113315</t>
  </si>
  <si>
    <t>2.7024119771421997</t>
  </si>
  <si>
    <t>4.034575860064164</t>
  </si>
  <si>
    <t>6.736987837206364</t>
  </si>
  <si>
    <t>85.49466898090752</t>
  </si>
  <si>
    <t>12.1745598809819</t>
  </si>
  <si>
    <t>2.330771138110588</t>
  </si>
  <si>
    <t>1.0903282949835418</t>
  </si>
  <si>
    <t>2.6536803044795096</t>
  </si>
  <si>
    <t>3.7440085994630516</t>
  </si>
  <si>
    <t>58.09571038928837</t>
  </si>
  <si>
    <t>22.390280188445328</t>
  </si>
  <si>
    <t>19.514009422266305</t>
  </si>
  <si>
    <t>10.265311182742376</t>
  </si>
  <si>
    <t>5.380609967765931</t>
  </si>
  <si>
    <t>4.9285969321365135</t>
  </si>
  <si>
    <t>5.959147375845475</t>
  </si>
  <si>
    <t>10.887744307981988</t>
  </si>
  <si>
    <t>80.73394495412845</t>
  </si>
  <si>
    <t>7.066699727250186</t>
  </si>
  <si>
    <t>12.199355318621375</t>
  </si>
  <si>
    <t>1.0414083808579222</t>
  </si>
  <si>
    <t>3.3225886436895613</t>
  </si>
  <si>
    <t>3.4733656669546877</t>
  </si>
  <si>
    <t>1.7278872147685047</t>
  </si>
  <si>
    <t>5.201252881723193</t>
  </si>
  <si>
    <t>82.84155715348376</t>
  </si>
  <si>
    <t>13.364740887676668</t>
  </si>
  <si>
    <t>2.305975700471113</t>
  </si>
  <si>
    <t>3.3197762433340987</t>
  </si>
  <si>
    <t>0.8754439878466251</t>
  </si>
  <si>
    <t>4.195220231180723</t>
  </si>
  <si>
    <t>74.28713116786511</t>
  </si>
  <si>
    <t>19.117282420034716</t>
  </si>
  <si>
    <t>6.5955864121001735</t>
  </si>
  <si>
    <t>1.8569657717550765</t>
  </si>
  <si>
    <t>4.40878157179661</t>
  </si>
  <si>
    <t>6.265747343551688</t>
  </si>
  <si>
    <t>92.80932308455245</t>
  </si>
  <si>
    <t>1.2149764443342426</t>
  </si>
  <si>
    <t>1.6584531345207734</t>
  </si>
  <si>
    <t>0.5885661485144891</t>
  </si>
  <si>
    <t>2.247019283035262</t>
  </si>
  <si>
    <t>71.83238284155715</t>
  </si>
  <si>
    <t>69.8487478303992</t>
  </si>
  <si>
    <t>24.074514345905783</t>
  </si>
  <si>
    <t>14.947310823149955</t>
  </si>
  <si>
    <t>39.02182516905574</t>
  </si>
  <si>
    <t>89.26357550210761</t>
  </si>
  <si>
    <t>10.066947681626582</t>
  </si>
  <si>
    <t>0.6694768162658071</t>
  </si>
  <si>
    <t>0.7118349813243492</t>
  </si>
  <si>
    <t>1.9305924928301916</t>
  </si>
  <si>
    <t>2.642427474154541</t>
  </si>
  <si>
    <t>61.79023059757005</t>
  </si>
  <si>
    <t>25.514505331019095</t>
  </si>
  <si>
    <t>12.695264071410861</t>
  </si>
  <si>
    <t>14.827671708405655</t>
  </si>
  <si>
    <t>3.892883709397471</t>
  </si>
  <si>
    <t>3.0797444667378113</t>
  </si>
  <si>
    <t>7.8519825473453935</t>
  </si>
  <si>
    <t>10.931727014083206</t>
  </si>
  <si>
    <t xml:space="preserve">Patient </t>
  </si>
  <si>
    <t>Lowest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</si>
</sst>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NumberFormat="1"/>
    <xf numFmtId="0" fontId="0" fillId="0" borderId="10" xfId="0" applyNumberFormat="1" applyFont="1" applyBorder="1"/>
    <xf numFmtId="0" fontId="0" fillId="33" borderId="10" xfId="0" applyNumberFormat="1" applyFont="1" applyFill="1" applyBorder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1A252B5-635F-4F5B-9876-B4C2A83718F2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D8A7B47-9BF2-4173-A060-4F422C3AC425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2F85AC4-C3A7-4201-8C97-04AF66308D02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178294-9D60-416B-B8AA-C9EE1B771038}" name="performance_stats" displayName="performance_stats" ref="A1:I32" tableType="queryTable" totalsRowShown="0">
  <autoFilter ref="A1:I32" xr:uid="{44178294-9D60-416B-B8AA-C9EE1B771038}"/>
  <tableColumns count="9">
    <tableColumn id="1" xr3:uid="{0527A4EC-9935-4416-930F-09FA34D45D5F}" uniqueName="1" name="Column1" queryTableFieldId="1" dataDxfId="26"/>
    <tableColumn id="2" xr3:uid="{66164A56-D261-4859-B00E-920F1EE8CC12}" uniqueName="2" name="Column2" queryTableFieldId="2" dataDxfId="25"/>
    <tableColumn id="3" xr3:uid="{9FF850FF-6016-46FA-898A-D7C9565F5C10}" uniqueName="3" name="Column3" queryTableFieldId="3" dataDxfId="24"/>
    <tableColumn id="4" xr3:uid="{D3D61AB2-41AF-4A4D-B9FD-45EBA37DF047}" uniqueName="4" name="Column4" queryTableFieldId="4" dataDxfId="23"/>
    <tableColumn id="5" xr3:uid="{FFFA6380-70F5-445B-A8BA-C4C17F90A320}" uniqueName="5" name="Column5" queryTableFieldId="5" dataDxfId="22"/>
    <tableColumn id="6" xr3:uid="{CF7817D0-DAF0-4AA7-B75E-EB95033AD1D1}" uniqueName="6" name="Column6" queryTableFieldId="6" dataDxfId="21"/>
    <tableColumn id="7" xr3:uid="{8599D3B7-3399-42B0-8078-63A4128EC8D6}" uniqueName="7" name="Column7" queryTableFieldId="7" dataDxfId="20"/>
    <tableColumn id="8" xr3:uid="{77A8B54D-EE15-4096-8FB2-5C3F5996F2FE}" uniqueName="8" name="Column8" queryTableFieldId="8" dataDxfId="19"/>
    <tableColumn id="9" xr3:uid="{94CD6235-A048-40EA-8D4B-1F9B19485693}" uniqueName="9" name="Column9" queryTableFieldId="9" dataDxf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0A371C-0029-4466-92D5-27013411D79D}" name="performance_stats__2" displayName="performance_stats__2" ref="A1:I32" tableType="queryTable" totalsRowShown="0">
  <autoFilter ref="A1:I32" xr:uid="{900A371C-0029-4466-92D5-27013411D79D}"/>
  <tableColumns count="9">
    <tableColumn id="1" xr3:uid="{B90122B4-4E21-4978-B426-E2E13C75F35E}" uniqueName="1" name="Column1" queryTableFieldId="1" dataDxfId="17"/>
    <tableColumn id="2" xr3:uid="{A6B392BF-FD3B-4AC4-A3FA-4473AB45CC93}" uniqueName="2" name="Column2" queryTableFieldId="2" dataDxfId="16"/>
    <tableColumn id="3" xr3:uid="{4CA1E6D5-818A-4139-9865-2D21DAB14124}" uniqueName="3" name="Column3" queryTableFieldId="3" dataDxfId="15"/>
    <tableColumn id="4" xr3:uid="{B71BD048-CE61-48F4-9CE7-1EE7D2C4A04E}" uniqueName="4" name="Column4" queryTableFieldId="4" dataDxfId="14"/>
    <tableColumn id="5" xr3:uid="{A81EB0A6-6149-465C-B62B-7EEEF66A8283}" uniqueName="5" name="Column5" queryTableFieldId="5" dataDxfId="13"/>
    <tableColumn id="6" xr3:uid="{8D1BCF48-EE29-4C4B-B010-7D2BF1182AE4}" uniqueName="6" name="Column6" queryTableFieldId="6" dataDxfId="12"/>
    <tableColumn id="7" xr3:uid="{27E27D1D-9C0A-4AAC-8827-7D07BFF415CB}" uniqueName="7" name="Column7" queryTableFieldId="7" dataDxfId="11"/>
    <tableColumn id="8" xr3:uid="{E9BC6A81-EF44-4CDA-83F6-E9CF91448E59}" uniqueName="8" name="Column8" queryTableFieldId="8" dataDxfId="10"/>
    <tableColumn id="9" xr3:uid="{AF10321B-E26D-498B-B25E-AE3E2E408A0A}" uniqueName="9" name="Column9" queryTableFieldId="9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09C709-7EA6-4C5A-B57C-041A7E773EF7}" name="performance_stats__3" displayName="performance_stats__3" ref="A1:I32" tableType="queryTable" totalsRowShown="0">
  <autoFilter ref="A1:I32" xr:uid="{F009C709-7EA6-4C5A-B57C-041A7E773EF7}"/>
  <tableColumns count="9">
    <tableColumn id="1" xr3:uid="{2DB55D8B-3E7C-435B-A861-E61F7198DC68}" uniqueName="1" name="Column1" queryTableFieldId="1" dataDxfId="8"/>
    <tableColumn id="2" xr3:uid="{C6B32D14-7CFD-4357-B045-008443BC5270}" uniqueName="2" name="Column2" queryTableFieldId="2" dataDxfId="7"/>
    <tableColumn id="3" xr3:uid="{C979C132-E0CB-4288-A933-2D60BEB52F13}" uniqueName="3" name="Column3" queryTableFieldId="3" dataDxfId="6"/>
    <tableColumn id="4" xr3:uid="{E6E281D2-D783-4F20-94E2-B7CD513286F0}" uniqueName="4" name="Column4" queryTableFieldId="4" dataDxfId="5"/>
    <tableColumn id="5" xr3:uid="{B2BE118E-3B35-4693-9B7E-18D18ADFE8B2}" uniqueName="5" name="Column5" queryTableFieldId="5" dataDxfId="4"/>
    <tableColumn id="6" xr3:uid="{075DF459-ED37-4E4C-8D4D-92255386D65D}" uniqueName="6" name="Column6" queryTableFieldId="6" dataDxfId="3"/>
    <tableColumn id="7" xr3:uid="{82FAED94-91D1-40DC-8491-CF0B3C4AB50D}" uniqueName="7" name="Column7" queryTableFieldId="7" dataDxfId="2"/>
    <tableColumn id="8" xr3:uid="{B814CAD2-05BD-4D64-BCC5-2FA5A9F68B8B}" uniqueName="8" name="Column8" queryTableFieldId="8" dataDxfId="1"/>
    <tableColumn id="9" xr3:uid="{7A85FF2B-9DEB-4D2F-A5D2-6D5ABC68873C}" uniqueName="9" name="Column9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4F81-4806-4133-91B6-657323399DA4}">
  <dimension ref="A1:I32"/>
  <sheetViews>
    <sheetView workbookViewId="0">
      <selection activeCell="L15" sqref="L15"/>
    </sheetView>
  </sheetViews>
  <sheetFormatPr defaultRowHeight="15" x14ac:dyDescent="0.25"/>
  <cols>
    <col min="1" max="1" width="14.85546875" bestFit="1" customWidth="1"/>
    <col min="2" max="3" width="18.85546875" bestFit="1" customWidth="1"/>
    <col min="4" max="5" width="19.85546875" bestFit="1" customWidth="1"/>
    <col min="6" max="6" width="18.85546875" bestFit="1" customWidth="1"/>
    <col min="7" max="7" width="22" bestFit="1" customWidth="1"/>
    <col min="8" max="8" width="19.85546875" bestFit="1" customWidth="1"/>
    <col min="9" max="9" width="18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x14ac:dyDescent="0.25">
      <c r="A3" s="1" t="s">
        <v>18</v>
      </c>
      <c r="B3" s="1" t="s">
        <v>19</v>
      </c>
      <c r="C3" s="1" t="s">
        <v>20</v>
      </c>
      <c r="D3" s="1" t="s">
        <v>20</v>
      </c>
      <c r="E3" s="1" t="s">
        <v>20</v>
      </c>
      <c r="F3" s="1" t="s">
        <v>20</v>
      </c>
      <c r="G3" s="1" t="s">
        <v>21</v>
      </c>
      <c r="H3" s="1" t="s">
        <v>22</v>
      </c>
      <c r="I3" s="1" t="s">
        <v>23</v>
      </c>
    </row>
    <row r="4" spans="1:9" x14ac:dyDescent="0.25">
      <c r="A4" s="1" t="s">
        <v>24</v>
      </c>
      <c r="B4" s="1" t="s">
        <v>25</v>
      </c>
      <c r="C4" s="1" t="s">
        <v>26</v>
      </c>
      <c r="D4" s="1" t="s">
        <v>27</v>
      </c>
      <c r="E4" s="1" t="s">
        <v>28</v>
      </c>
      <c r="F4" s="1" t="s">
        <v>29</v>
      </c>
      <c r="G4" s="1" t="s">
        <v>30</v>
      </c>
      <c r="H4" s="1" t="s">
        <v>31</v>
      </c>
      <c r="I4" s="1" t="s">
        <v>32</v>
      </c>
    </row>
    <row r="5" spans="1:9" x14ac:dyDescent="0.25">
      <c r="A5" s="1" t="s">
        <v>33</v>
      </c>
      <c r="B5" s="1" t="s">
        <v>34</v>
      </c>
      <c r="C5" s="1" t="s">
        <v>35</v>
      </c>
      <c r="D5" s="1" t="s">
        <v>20</v>
      </c>
      <c r="E5" s="1" t="s">
        <v>36</v>
      </c>
      <c r="F5" s="1" t="s">
        <v>20</v>
      </c>
      <c r="G5" s="1" t="s">
        <v>37</v>
      </c>
      <c r="H5" s="1" t="s">
        <v>38</v>
      </c>
      <c r="I5" s="1" t="s">
        <v>39</v>
      </c>
    </row>
    <row r="6" spans="1:9" x14ac:dyDescent="0.25">
      <c r="A6" s="1" t="s">
        <v>40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20</v>
      </c>
      <c r="G6" s="1" t="s">
        <v>45</v>
      </c>
      <c r="H6" s="1" t="s">
        <v>46</v>
      </c>
      <c r="I6" s="1" t="s">
        <v>47</v>
      </c>
    </row>
    <row r="7" spans="1:9" x14ac:dyDescent="0.25">
      <c r="A7" s="1" t="s">
        <v>48</v>
      </c>
      <c r="B7" s="1" t="s">
        <v>49</v>
      </c>
      <c r="C7" s="1" t="s">
        <v>50</v>
      </c>
      <c r="D7" s="1" t="s">
        <v>51</v>
      </c>
      <c r="E7" s="1" t="s">
        <v>52</v>
      </c>
      <c r="F7" s="1" t="s">
        <v>20</v>
      </c>
      <c r="G7" s="1" t="s">
        <v>53</v>
      </c>
      <c r="H7" s="1" t="s">
        <v>54</v>
      </c>
      <c r="I7" s="1" t="s">
        <v>55</v>
      </c>
    </row>
    <row r="8" spans="1:9" x14ac:dyDescent="0.25">
      <c r="A8" s="1" t="s">
        <v>56</v>
      </c>
      <c r="B8" s="1" t="s">
        <v>57</v>
      </c>
      <c r="C8" s="1" t="s">
        <v>58</v>
      </c>
      <c r="D8" s="1" t="s">
        <v>20</v>
      </c>
      <c r="E8" s="1" t="s">
        <v>20</v>
      </c>
      <c r="F8" s="1" t="s">
        <v>20</v>
      </c>
      <c r="G8" s="1" t="s">
        <v>59</v>
      </c>
      <c r="H8" s="1" t="s">
        <v>60</v>
      </c>
      <c r="I8" s="1" t="s">
        <v>61</v>
      </c>
    </row>
    <row r="9" spans="1:9" x14ac:dyDescent="0.25">
      <c r="A9" s="1" t="s">
        <v>62</v>
      </c>
      <c r="B9" s="1" t="s">
        <v>63</v>
      </c>
      <c r="C9" s="1" t="s">
        <v>64</v>
      </c>
      <c r="D9" s="1" t="s">
        <v>65</v>
      </c>
      <c r="E9" s="1" t="s">
        <v>66</v>
      </c>
      <c r="F9" s="1" t="s">
        <v>67</v>
      </c>
      <c r="G9" s="1" t="s">
        <v>68</v>
      </c>
      <c r="H9" s="1" t="s">
        <v>69</v>
      </c>
      <c r="I9" s="1" t="s">
        <v>70</v>
      </c>
    </row>
    <row r="10" spans="1:9" x14ac:dyDescent="0.25">
      <c r="A10" s="1" t="s">
        <v>71</v>
      </c>
      <c r="B10" s="1" t="s">
        <v>72</v>
      </c>
      <c r="C10" s="1" t="s">
        <v>73</v>
      </c>
      <c r="D10" s="1" t="s">
        <v>74</v>
      </c>
      <c r="E10" s="1" t="s">
        <v>75</v>
      </c>
      <c r="F10" s="1" t="s">
        <v>67</v>
      </c>
      <c r="G10" s="1" t="s">
        <v>76</v>
      </c>
      <c r="H10" s="1" t="s">
        <v>77</v>
      </c>
      <c r="I10" s="1" t="s">
        <v>78</v>
      </c>
    </row>
    <row r="11" spans="1:9" x14ac:dyDescent="0.25">
      <c r="A11" s="1" t="s">
        <v>79</v>
      </c>
      <c r="B11" s="1" t="s">
        <v>80</v>
      </c>
      <c r="C11" s="1" t="s">
        <v>81</v>
      </c>
      <c r="D11" s="1" t="s">
        <v>20</v>
      </c>
      <c r="E11" s="1" t="s">
        <v>20</v>
      </c>
      <c r="F11" s="1" t="s">
        <v>20</v>
      </c>
      <c r="G11" s="1" t="s">
        <v>82</v>
      </c>
      <c r="H11" s="1" t="s">
        <v>83</v>
      </c>
      <c r="I11" s="1" t="s">
        <v>84</v>
      </c>
    </row>
    <row r="12" spans="1:9" x14ac:dyDescent="0.25">
      <c r="A12" s="1" t="s">
        <v>85</v>
      </c>
      <c r="B12" s="1" t="s">
        <v>86</v>
      </c>
      <c r="C12" s="1" t="s">
        <v>87</v>
      </c>
      <c r="D12" s="1" t="s">
        <v>51</v>
      </c>
      <c r="E12" s="1" t="s">
        <v>20</v>
      </c>
      <c r="F12" s="1" t="s">
        <v>20</v>
      </c>
      <c r="G12" s="1" t="s">
        <v>88</v>
      </c>
      <c r="H12" s="1" t="s">
        <v>89</v>
      </c>
      <c r="I12" s="1" t="s">
        <v>90</v>
      </c>
    </row>
    <row r="13" spans="1:9" x14ac:dyDescent="0.25">
      <c r="A13" s="1" t="s">
        <v>91</v>
      </c>
      <c r="B13" s="1" t="s">
        <v>92</v>
      </c>
      <c r="C13" s="1" t="s">
        <v>93</v>
      </c>
      <c r="D13" s="1" t="s">
        <v>20</v>
      </c>
      <c r="E13" s="1" t="s">
        <v>20</v>
      </c>
      <c r="F13" s="1" t="s">
        <v>20</v>
      </c>
      <c r="G13" s="1" t="s">
        <v>94</v>
      </c>
      <c r="H13" s="1" t="s">
        <v>95</v>
      </c>
      <c r="I13" s="1" t="s">
        <v>96</v>
      </c>
    </row>
    <row r="14" spans="1:9" x14ac:dyDescent="0.25">
      <c r="A14" s="1" t="s">
        <v>97</v>
      </c>
      <c r="B14" s="1" t="s">
        <v>98</v>
      </c>
      <c r="C14" s="1" t="s">
        <v>99</v>
      </c>
      <c r="D14" s="1" t="s">
        <v>20</v>
      </c>
      <c r="E14" s="1" t="s">
        <v>20</v>
      </c>
      <c r="F14" s="1" t="s">
        <v>20</v>
      </c>
      <c r="G14" s="1" t="s">
        <v>100</v>
      </c>
      <c r="H14" s="1" t="s">
        <v>101</v>
      </c>
      <c r="I14" s="1" t="s">
        <v>102</v>
      </c>
    </row>
    <row r="15" spans="1:9" x14ac:dyDescent="0.25">
      <c r="A15" s="1" t="s">
        <v>103</v>
      </c>
      <c r="B15" s="1" t="s">
        <v>104</v>
      </c>
      <c r="C15" s="1" t="s">
        <v>105</v>
      </c>
      <c r="D15" s="1" t="s">
        <v>20</v>
      </c>
      <c r="E15" s="1" t="s">
        <v>20</v>
      </c>
      <c r="F15" s="1" t="s">
        <v>20</v>
      </c>
      <c r="G15" s="1" t="s">
        <v>106</v>
      </c>
      <c r="H15" s="1" t="s">
        <v>107</v>
      </c>
      <c r="I15" s="1" t="s">
        <v>108</v>
      </c>
    </row>
    <row r="16" spans="1:9" x14ac:dyDescent="0.25">
      <c r="A16" s="1" t="s">
        <v>109</v>
      </c>
      <c r="B16" s="1" t="s">
        <v>110</v>
      </c>
      <c r="C16" s="1" t="s">
        <v>111</v>
      </c>
      <c r="D16" s="1" t="s">
        <v>20</v>
      </c>
      <c r="E16" s="1" t="s">
        <v>112</v>
      </c>
      <c r="F16" s="1" t="s">
        <v>20</v>
      </c>
      <c r="G16" s="1" t="s">
        <v>113</v>
      </c>
      <c r="H16" s="1" t="s">
        <v>114</v>
      </c>
      <c r="I16" s="1" t="s">
        <v>115</v>
      </c>
    </row>
    <row r="17" spans="1:9" x14ac:dyDescent="0.25">
      <c r="A17" s="1" t="s">
        <v>116</v>
      </c>
      <c r="B17" s="1" t="s">
        <v>117</v>
      </c>
      <c r="C17" s="1" t="s">
        <v>118</v>
      </c>
      <c r="D17" s="1" t="s">
        <v>20</v>
      </c>
      <c r="E17" s="1" t="s">
        <v>20</v>
      </c>
      <c r="F17" s="1" t="s">
        <v>20</v>
      </c>
      <c r="G17" s="1" t="s">
        <v>119</v>
      </c>
      <c r="H17" s="1" t="s">
        <v>120</v>
      </c>
      <c r="I17" s="1" t="s">
        <v>121</v>
      </c>
    </row>
    <row r="18" spans="1:9" x14ac:dyDescent="0.25">
      <c r="A18" s="1" t="s">
        <v>122</v>
      </c>
      <c r="B18" s="1" t="s">
        <v>123</v>
      </c>
      <c r="C18" s="1" t="s">
        <v>124</v>
      </c>
      <c r="D18" s="1" t="s">
        <v>20</v>
      </c>
      <c r="E18" s="1" t="s">
        <v>20</v>
      </c>
      <c r="F18" s="1" t="s">
        <v>20</v>
      </c>
      <c r="G18" s="1" t="s">
        <v>125</v>
      </c>
      <c r="H18" s="1" t="s">
        <v>126</v>
      </c>
      <c r="I18" s="1" t="s">
        <v>127</v>
      </c>
    </row>
    <row r="19" spans="1:9" x14ac:dyDescent="0.25">
      <c r="A19" s="1" t="s">
        <v>128</v>
      </c>
      <c r="B19" s="1" t="s">
        <v>129</v>
      </c>
      <c r="C19" s="1" t="s">
        <v>130</v>
      </c>
      <c r="D19" s="1" t="s">
        <v>20</v>
      </c>
      <c r="E19" s="1" t="s">
        <v>20</v>
      </c>
      <c r="F19" s="1" t="s">
        <v>20</v>
      </c>
      <c r="G19" s="1" t="s">
        <v>131</v>
      </c>
      <c r="H19" s="1" t="s">
        <v>132</v>
      </c>
      <c r="I19" s="1" t="s">
        <v>133</v>
      </c>
    </row>
    <row r="20" spans="1:9" x14ac:dyDescent="0.25">
      <c r="A20" s="1" t="s">
        <v>134</v>
      </c>
      <c r="B20" s="1" t="s">
        <v>135</v>
      </c>
      <c r="C20" s="1" t="s">
        <v>136</v>
      </c>
      <c r="D20" s="1" t="s">
        <v>20</v>
      </c>
      <c r="E20" s="1" t="s">
        <v>20</v>
      </c>
      <c r="F20" s="1" t="s">
        <v>20</v>
      </c>
      <c r="G20" s="1" t="s">
        <v>137</v>
      </c>
      <c r="H20" s="1" t="s">
        <v>138</v>
      </c>
      <c r="I20" s="1" t="s">
        <v>139</v>
      </c>
    </row>
    <row r="21" spans="1:9" x14ac:dyDescent="0.25">
      <c r="A21" s="1" t="s">
        <v>140</v>
      </c>
      <c r="B21" s="1" t="s">
        <v>141</v>
      </c>
      <c r="C21" s="1" t="s">
        <v>142</v>
      </c>
      <c r="D21" s="1" t="s">
        <v>143</v>
      </c>
      <c r="E21" s="1" t="s">
        <v>144</v>
      </c>
      <c r="F21" s="1" t="s">
        <v>145</v>
      </c>
      <c r="G21" s="1" t="s">
        <v>146</v>
      </c>
      <c r="H21" s="1" t="s">
        <v>147</v>
      </c>
      <c r="I21" s="1" t="s">
        <v>148</v>
      </c>
    </row>
    <row r="22" spans="1:9" x14ac:dyDescent="0.25">
      <c r="A22" s="1" t="s">
        <v>149</v>
      </c>
      <c r="B22" s="1" t="s">
        <v>150</v>
      </c>
      <c r="C22" s="1" t="s">
        <v>151</v>
      </c>
      <c r="D22" s="1" t="s">
        <v>20</v>
      </c>
      <c r="E22" s="1" t="s">
        <v>20</v>
      </c>
      <c r="F22" s="1" t="s">
        <v>20</v>
      </c>
      <c r="G22" s="1" t="s">
        <v>152</v>
      </c>
      <c r="H22" s="1" t="s">
        <v>153</v>
      </c>
      <c r="I22" s="1" t="s">
        <v>154</v>
      </c>
    </row>
    <row r="23" spans="1:9" x14ac:dyDescent="0.25">
      <c r="A23" s="1" t="s">
        <v>155</v>
      </c>
      <c r="B23" s="1" t="s">
        <v>156</v>
      </c>
      <c r="C23" s="1" t="s">
        <v>157</v>
      </c>
      <c r="D23" s="1" t="s">
        <v>158</v>
      </c>
      <c r="E23" s="1" t="s">
        <v>159</v>
      </c>
      <c r="F23" s="1" t="s">
        <v>99</v>
      </c>
      <c r="G23" s="1" t="s">
        <v>160</v>
      </c>
      <c r="H23" s="1" t="s">
        <v>161</v>
      </c>
      <c r="I23" s="1" t="s">
        <v>162</v>
      </c>
    </row>
    <row r="24" spans="1:9" x14ac:dyDescent="0.25">
      <c r="A24" s="1" t="s">
        <v>163</v>
      </c>
      <c r="B24" s="1" t="s">
        <v>164</v>
      </c>
      <c r="C24" s="1" t="s">
        <v>165</v>
      </c>
      <c r="D24" s="1" t="s">
        <v>166</v>
      </c>
      <c r="E24" s="1" t="s">
        <v>20</v>
      </c>
      <c r="F24" s="1" t="s">
        <v>167</v>
      </c>
      <c r="G24" s="1" t="s">
        <v>168</v>
      </c>
      <c r="H24" s="1" t="s">
        <v>169</v>
      </c>
      <c r="I24" s="1" t="s">
        <v>170</v>
      </c>
    </row>
    <row r="25" spans="1:9" x14ac:dyDescent="0.25">
      <c r="A25" s="1" t="s">
        <v>171</v>
      </c>
      <c r="B25" s="1" t="s">
        <v>172</v>
      </c>
      <c r="C25" s="1" t="s">
        <v>173</v>
      </c>
      <c r="D25" s="1" t="s">
        <v>174</v>
      </c>
      <c r="E25" s="1" t="s">
        <v>175</v>
      </c>
      <c r="F25" s="1" t="s">
        <v>118</v>
      </c>
      <c r="G25" s="1" t="s">
        <v>176</v>
      </c>
      <c r="H25" s="1" t="s">
        <v>177</v>
      </c>
      <c r="I25" s="1" t="s">
        <v>178</v>
      </c>
    </row>
    <row r="26" spans="1:9" x14ac:dyDescent="0.25">
      <c r="A26" s="1" t="s">
        <v>179</v>
      </c>
      <c r="B26" s="1" t="s">
        <v>180</v>
      </c>
      <c r="C26" s="1" t="s">
        <v>181</v>
      </c>
      <c r="D26" s="1" t="s">
        <v>182</v>
      </c>
      <c r="E26" s="1" t="s">
        <v>43</v>
      </c>
      <c r="F26" s="1" t="s">
        <v>183</v>
      </c>
      <c r="G26" s="1" t="s">
        <v>184</v>
      </c>
      <c r="H26" s="1" t="s">
        <v>185</v>
      </c>
      <c r="I26" s="1" t="s">
        <v>186</v>
      </c>
    </row>
    <row r="27" spans="1:9" x14ac:dyDescent="0.25">
      <c r="A27" s="1" t="s">
        <v>187</v>
      </c>
      <c r="B27" s="1" t="s">
        <v>188</v>
      </c>
      <c r="C27" s="1" t="s">
        <v>189</v>
      </c>
      <c r="D27" s="1" t="s">
        <v>190</v>
      </c>
      <c r="E27" s="1" t="s">
        <v>20</v>
      </c>
      <c r="F27" s="1" t="s">
        <v>191</v>
      </c>
      <c r="G27" s="1" t="s">
        <v>192</v>
      </c>
      <c r="H27" s="1" t="s">
        <v>193</v>
      </c>
      <c r="I27" s="1" t="s">
        <v>194</v>
      </c>
    </row>
    <row r="28" spans="1:9" x14ac:dyDescent="0.25">
      <c r="A28" s="1" t="s">
        <v>195</v>
      </c>
      <c r="B28" s="1" t="s">
        <v>196</v>
      </c>
      <c r="C28" s="1" t="s">
        <v>197</v>
      </c>
      <c r="D28" s="1" t="s">
        <v>198</v>
      </c>
      <c r="E28" s="1" t="s">
        <v>199</v>
      </c>
      <c r="F28" s="1" t="s">
        <v>200</v>
      </c>
      <c r="G28" s="1" t="s">
        <v>201</v>
      </c>
      <c r="H28" s="1" t="s">
        <v>202</v>
      </c>
      <c r="I28" s="1" t="s">
        <v>203</v>
      </c>
    </row>
    <row r="29" spans="1:9" x14ac:dyDescent="0.25">
      <c r="A29" s="1" t="s">
        <v>204</v>
      </c>
      <c r="B29" s="1" t="s">
        <v>205</v>
      </c>
      <c r="C29" s="1" t="s">
        <v>51</v>
      </c>
      <c r="D29" s="1" t="s">
        <v>206</v>
      </c>
      <c r="E29" s="1" t="s">
        <v>20</v>
      </c>
      <c r="F29" s="1" t="s">
        <v>20</v>
      </c>
      <c r="G29" s="1" t="s">
        <v>207</v>
      </c>
      <c r="H29" s="1" t="s">
        <v>208</v>
      </c>
      <c r="I29" s="1" t="s">
        <v>209</v>
      </c>
    </row>
    <row r="30" spans="1:9" x14ac:dyDescent="0.25">
      <c r="A30" s="1" t="s">
        <v>210</v>
      </c>
      <c r="B30" s="1" t="s">
        <v>211</v>
      </c>
      <c r="C30" s="1" t="s">
        <v>66</v>
      </c>
      <c r="D30" s="1" t="s">
        <v>212</v>
      </c>
      <c r="E30" s="1" t="s">
        <v>213</v>
      </c>
      <c r="F30" s="1" t="s">
        <v>214</v>
      </c>
      <c r="G30" s="1" t="s">
        <v>215</v>
      </c>
      <c r="H30" s="1" t="s">
        <v>216</v>
      </c>
      <c r="I30" s="1" t="s">
        <v>217</v>
      </c>
    </row>
    <row r="31" spans="1:9" x14ac:dyDescent="0.25">
      <c r="A31" s="1" t="s">
        <v>218</v>
      </c>
      <c r="B31" s="1" t="s">
        <v>219</v>
      </c>
      <c r="C31" s="1" t="s">
        <v>220</v>
      </c>
      <c r="D31" s="1" t="s">
        <v>20</v>
      </c>
      <c r="E31" s="1" t="s">
        <v>99</v>
      </c>
      <c r="F31" s="1" t="s">
        <v>20</v>
      </c>
      <c r="G31" s="1" t="s">
        <v>221</v>
      </c>
      <c r="H31" s="1" t="s">
        <v>222</v>
      </c>
      <c r="I31" s="1" t="s">
        <v>223</v>
      </c>
    </row>
    <row r="32" spans="1:9" x14ac:dyDescent="0.25">
      <c r="A32" s="1" t="s">
        <v>224</v>
      </c>
      <c r="B32" s="1" t="s">
        <v>225</v>
      </c>
      <c r="C32" s="1" t="s">
        <v>226</v>
      </c>
      <c r="D32" s="1" t="s">
        <v>227</v>
      </c>
      <c r="E32" s="1" t="s">
        <v>228</v>
      </c>
      <c r="F32" s="1" t="s">
        <v>229</v>
      </c>
      <c r="G32" s="1" t="s">
        <v>230</v>
      </c>
      <c r="H32" s="1" t="s">
        <v>231</v>
      </c>
      <c r="I32" s="1" t="s">
        <v>232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7B05C-C1FB-4213-99E6-5E616B7D8FDD}">
  <dimension ref="A1:I32"/>
  <sheetViews>
    <sheetView workbookViewId="0"/>
  </sheetViews>
  <sheetFormatPr defaultRowHeight="15" x14ac:dyDescent="0.25"/>
  <cols>
    <col min="1" max="1" width="14.85546875" bestFit="1" customWidth="1"/>
    <col min="2" max="3" width="18.85546875" bestFit="1" customWidth="1"/>
    <col min="4" max="6" width="19.85546875" bestFit="1" customWidth="1"/>
    <col min="7" max="7" width="22" bestFit="1" customWidth="1"/>
    <col min="8" max="8" width="19.85546875" bestFit="1" customWidth="1"/>
    <col min="9" max="9" width="18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x14ac:dyDescent="0.25">
      <c r="A3" s="1" t="s">
        <v>18</v>
      </c>
      <c r="B3" s="1" t="s">
        <v>19</v>
      </c>
      <c r="C3" s="1" t="s">
        <v>20</v>
      </c>
      <c r="D3" s="1" t="s">
        <v>20</v>
      </c>
      <c r="E3" s="1" t="s">
        <v>20</v>
      </c>
      <c r="F3" s="1" t="s">
        <v>20</v>
      </c>
      <c r="G3" s="1" t="s">
        <v>233</v>
      </c>
      <c r="H3" s="1" t="s">
        <v>234</v>
      </c>
      <c r="I3" s="1" t="s">
        <v>235</v>
      </c>
    </row>
    <row r="4" spans="1:9" x14ac:dyDescent="0.25">
      <c r="A4" s="1" t="s">
        <v>24</v>
      </c>
      <c r="B4" s="1" t="s">
        <v>236</v>
      </c>
      <c r="C4" s="1" t="s">
        <v>237</v>
      </c>
      <c r="D4" s="1" t="s">
        <v>238</v>
      </c>
      <c r="E4" s="1" t="s">
        <v>239</v>
      </c>
      <c r="F4" s="1" t="s">
        <v>240</v>
      </c>
      <c r="G4" s="1" t="s">
        <v>241</v>
      </c>
      <c r="H4" s="1" t="s">
        <v>242</v>
      </c>
      <c r="I4" s="1" t="s">
        <v>243</v>
      </c>
    </row>
    <row r="5" spans="1:9" x14ac:dyDescent="0.25">
      <c r="A5" s="1" t="s">
        <v>33</v>
      </c>
      <c r="B5" s="1" t="s">
        <v>244</v>
      </c>
      <c r="C5" s="1" t="s">
        <v>213</v>
      </c>
      <c r="D5" s="1" t="s">
        <v>245</v>
      </c>
      <c r="E5" s="1" t="s">
        <v>20</v>
      </c>
      <c r="F5" s="1" t="s">
        <v>20</v>
      </c>
      <c r="G5" s="1" t="s">
        <v>246</v>
      </c>
      <c r="H5" s="1" t="s">
        <v>247</v>
      </c>
      <c r="I5" s="1" t="s">
        <v>248</v>
      </c>
    </row>
    <row r="6" spans="1:9" x14ac:dyDescent="0.25">
      <c r="A6" s="1" t="s">
        <v>40</v>
      </c>
      <c r="B6" s="1" t="s">
        <v>249</v>
      </c>
      <c r="C6" s="1" t="s">
        <v>250</v>
      </c>
      <c r="D6" s="1" t="s">
        <v>251</v>
      </c>
      <c r="E6" s="1" t="s">
        <v>252</v>
      </c>
      <c r="F6" s="1" t="s">
        <v>20</v>
      </c>
      <c r="G6" s="1" t="s">
        <v>253</v>
      </c>
      <c r="H6" s="1" t="s">
        <v>254</v>
      </c>
      <c r="I6" s="1" t="s">
        <v>255</v>
      </c>
    </row>
    <row r="7" spans="1:9" x14ac:dyDescent="0.25">
      <c r="A7" s="1" t="s">
        <v>48</v>
      </c>
      <c r="B7" s="1" t="s">
        <v>256</v>
      </c>
      <c r="C7" s="1" t="s">
        <v>257</v>
      </c>
      <c r="D7" s="1" t="s">
        <v>258</v>
      </c>
      <c r="E7" s="1" t="s">
        <v>259</v>
      </c>
      <c r="F7" s="1" t="s">
        <v>20</v>
      </c>
      <c r="G7" s="1" t="s">
        <v>260</v>
      </c>
      <c r="H7" s="1" t="s">
        <v>261</v>
      </c>
      <c r="I7" s="1" t="s">
        <v>262</v>
      </c>
    </row>
    <row r="8" spans="1:9" x14ac:dyDescent="0.25">
      <c r="A8" s="1" t="s">
        <v>56</v>
      </c>
      <c r="B8" s="1" t="s">
        <v>263</v>
      </c>
      <c r="C8" s="1" t="s">
        <v>264</v>
      </c>
      <c r="D8" s="1" t="s">
        <v>20</v>
      </c>
      <c r="E8" s="1" t="s">
        <v>20</v>
      </c>
      <c r="F8" s="1" t="s">
        <v>20</v>
      </c>
      <c r="G8" s="1" t="s">
        <v>265</v>
      </c>
      <c r="H8" s="1" t="s">
        <v>266</v>
      </c>
      <c r="I8" s="1" t="s">
        <v>267</v>
      </c>
    </row>
    <row r="9" spans="1:9" x14ac:dyDescent="0.25">
      <c r="A9" s="1" t="s">
        <v>62</v>
      </c>
      <c r="B9" s="1" t="s">
        <v>268</v>
      </c>
      <c r="C9" s="1" t="s">
        <v>269</v>
      </c>
      <c r="D9" s="1" t="s">
        <v>270</v>
      </c>
      <c r="E9" s="1" t="s">
        <v>271</v>
      </c>
      <c r="F9" s="1" t="s">
        <v>272</v>
      </c>
      <c r="G9" s="1" t="s">
        <v>273</v>
      </c>
      <c r="H9" s="1" t="s">
        <v>274</v>
      </c>
      <c r="I9" s="1" t="s">
        <v>275</v>
      </c>
    </row>
    <row r="10" spans="1:9" x14ac:dyDescent="0.25">
      <c r="A10" s="1" t="s">
        <v>71</v>
      </c>
      <c r="B10" s="1" t="s">
        <v>276</v>
      </c>
      <c r="C10" s="1" t="s">
        <v>277</v>
      </c>
      <c r="D10" s="1" t="s">
        <v>278</v>
      </c>
      <c r="E10" s="1" t="s">
        <v>279</v>
      </c>
      <c r="F10" s="1" t="s">
        <v>280</v>
      </c>
      <c r="G10" s="1" t="s">
        <v>281</v>
      </c>
      <c r="H10" s="1" t="s">
        <v>282</v>
      </c>
      <c r="I10" s="1" t="s">
        <v>283</v>
      </c>
    </row>
    <row r="11" spans="1:9" x14ac:dyDescent="0.25">
      <c r="A11" s="1" t="s">
        <v>79</v>
      </c>
      <c r="B11" s="1" t="s">
        <v>284</v>
      </c>
      <c r="C11" s="1" t="s">
        <v>285</v>
      </c>
      <c r="D11" s="1" t="s">
        <v>20</v>
      </c>
      <c r="E11" s="1" t="s">
        <v>20</v>
      </c>
      <c r="F11" s="1" t="s">
        <v>20</v>
      </c>
      <c r="G11" s="1" t="s">
        <v>286</v>
      </c>
      <c r="H11" s="1" t="s">
        <v>287</v>
      </c>
      <c r="I11" s="1" t="s">
        <v>288</v>
      </c>
    </row>
    <row r="12" spans="1:9" x14ac:dyDescent="0.25">
      <c r="A12" s="1" t="s">
        <v>85</v>
      </c>
      <c r="B12" s="1" t="s">
        <v>289</v>
      </c>
      <c r="C12" s="1" t="s">
        <v>290</v>
      </c>
      <c r="D12" s="1" t="s">
        <v>251</v>
      </c>
      <c r="E12" s="1" t="s">
        <v>20</v>
      </c>
      <c r="F12" s="1" t="s">
        <v>20</v>
      </c>
      <c r="G12" s="1" t="s">
        <v>291</v>
      </c>
      <c r="H12" s="1" t="s">
        <v>292</v>
      </c>
      <c r="I12" s="1" t="s">
        <v>293</v>
      </c>
    </row>
    <row r="13" spans="1:9" x14ac:dyDescent="0.25">
      <c r="A13" s="1" t="s">
        <v>91</v>
      </c>
      <c r="B13" s="1" t="s">
        <v>294</v>
      </c>
      <c r="C13" s="1" t="s">
        <v>295</v>
      </c>
      <c r="D13" s="1" t="s">
        <v>20</v>
      </c>
      <c r="E13" s="1" t="s">
        <v>20</v>
      </c>
      <c r="F13" s="1" t="s">
        <v>20</v>
      </c>
      <c r="G13" s="1" t="s">
        <v>296</v>
      </c>
      <c r="H13" s="1" t="s">
        <v>297</v>
      </c>
      <c r="I13" s="1" t="s">
        <v>298</v>
      </c>
    </row>
    <row r="14" spans="1:9" x14ac:dyDescent="0.25">
      <c r="A14" s="1" t="s">
        <v>97</v>
      </c>
      <c r="B14" s="1" t="s">
        <v>299</v>
      </c>
      <c r="C14" s="1" t="s">
        <v>300</v>
      </c>
      <c r="D14" s="1" t="s">
        <v>20</v>
      </c>
      <c r="E14" s="1" t="s">
        <v>20</v>
      </c>
      <c r="F14" s="1" t="s">
        <v>20</v>
      </c>
      <c r="G14" s="1" t="s">
        <v>301</v>
      </c>
      <c r="H14" s="1" t="s">
        <v>302</v>
      </c>
      <c r="I14" s="1" t="s">
        <v>303</v>
      </c>
    </row>
    <row r="15" spans="1:9" x14ac:dyDescent="0.25">
      <c r="A15" s="1" t="s">
        <v>103</v>
      </c>
      <c r="B15" s="1" t="s">
        <v>304</v>
      </c>
      <c r="C15" s="1" t="s">
        <v>305</v>
      </c>
      <c r="D15" s="1" t="s">
        <v>20</v>
      </c>
      <c r="E15" s="1" t="s">
        <v>20</v>
      </c>
      <c r="F15" s="1" t="s">
        <v>20</v>
      </c>
      <c r="G15" s="1" t="s">
        <v>306</v>
      </c>
      <c r="H15" s="1" t="s">
        <v>307</v>
      </c>
      <c r="I15" s="1" t="s">
        <v>308</v>
      </c>
    </row>
    <row r="16" spans="1:9" x14ac:dyDescent="0.25">
      <c r="A16" s="1" t="s">
        <v>109</v>
      </c>
      <c r="B16" s="1" t="s">
        <v>309</v>
      </c>
      <c r="C16" s="1" t="s">
        <v>310</v>
      </c>
      <c r="D16" s="1" t="s">
        <v>20</v>
      </c>
      <c r="E16" s="1" t="s">
        <v>311</v>
      </c>
      <c r="F16" s="1" t="s">
        <v>20</v>
      </c>
      <c r="G16" s="1" t="s">
        <v>312</v>
      </c>
      <c r="H16" s="1" t="s">
        <v>313</v>
      </c>
      <c r="I16" s="1" t="s">
        <v>314</v>
      </c>
    </row>
    <row r="17" spans="1:9" x14ac:dyDescent="0.25">
      <c r="A17" s="1" t="s">
        <v>116</v>
      </c>
      <c r="B17" s="1" t="s">
        <v>315</v>
      </c>
      <c r="C17" s="1" t="s">
        <v>229</v>
      </c>
      <c r="D17" s="1" t="s">
        <v>20</v>
      </c>
      <c r="E17" s="1" t="s">
        <v>20</v>
      </c>
      <c r="F17" s="1" t="s">
        <v>20</v>
      </c>
      <c r="G17" s="1" t="s">
        <v>316</v>
      </c>
      <c r="H17" s="1" t="s">
        <v>317</v>
      </c>
      <c r="I17" s="1" t="s">
        <v>318</v>
      </c>
    </row>
    <row r="18" spans="1:9" x14ac:dyDescent="0.25">
      <c r="A18" s="1" t="s">
        <v>122</v>
      </c>
      <c r="B18" s="1" t="s">
        <v>319</v>
      </c>
      <c r="C18" s="1" t="s">
        <v>320</v>
      </c>
      <c r="D18" s="1" t="s">
        <v>252</v>
      </c>
      <c r="E18" s="1" t="s">
        <v>20</v>
      </c>
      <c r="F18" s="1" t="s">
        <v>20</v>
      </c>
      <c r="G18" s="1" t="s">
        <v>321</v>
      </c>
      <c r="H18" s="1" t="s">
        <v>322</v>
      </c>
      <c r="I18" s="1" t="s">
        <v>323</v>
      </c>
    </row>
    <row r="19" spans="1:9" x14ac:dyDescent="0.25">
      <c r="A19" s="1" t="s">
        <v>128</v>
      </c>
      <c r="B19" s="1" t="s">
        <v>324</v>
      </c>
      <c r="C19" s="1" t="s">
        <v>325</v>
      </c>
      <c r="D19" s="1" t="s">
        <v>20</v>
      </c>
      <c r="E19" s="1" t="s">
        <v>20</v>
      </c>
      <c r="F19" s="1" t="s">
        <v>20</v>
      </c>
      <c r="G19" s="1" t="s">
        <v>326</v>
      </c>
      <c r="H19" s="1" t="s">
        <v>327</v>
      </c>
      <c r="I19" s="1" t="s">
        <v>328</v>
      </c>
    </row>
    <row r="20" spans="1:9" x14ac:dyDescent="0.25">
      <c r="A20" s="1" t="s">
        <v>134</v>
      </c>
      <c r="B20" s="1" t="s">
        <v>329</v>
      </c>
      <c r="C20" s="1" t="s">
        <v>330</v>
      </c>
      <c r="D20" s="1" t="s">
        <v>20</v>
      </c>
      <c r="E20" s="1" t="s">
        <v>20</v>
      </c>
      <c r="F20" s="1" t="s">
        <v>20</v>
      </c>
      <c r="G20" s="1" t="s">
        <v>331</v>
      </c>
      <c r="H20" s="1" t="s">
        <v>332</v>
      </c>
      <c r="I20" s="1" t="s">
        <v>333</v>
      </c>
    </row>
    <row r="21" spans="1:9" x14ac:dyDescent="0.25">
      <c r="A21" s="1" t="s">
        <v>140</v>
      </c>
      <c r="B21" s="1" t="s">
        <v>334</v>
      </c>
      <c r="C21" s="1" t="s">
        <v>335</v>
      </c>
      <c r="D21" s="1" t="s">
        <v>336</v>
      </c>
      <c r="E21" s="1" t="s">
        <v>337</v>
      </c>
      <c r="F21" s="1" t="s">
        <v>338</v>
      </c>
      <c r="G21" s="1" t="s">
        <v>339</v>
      </c>
      <c r="H21" s="1" t="s">
        <v>340</v>
      </c>
      <c r="I21" s="1" t="s">
        <v>341</v>
      </c>
    </row>
    <row r="22" spans="1:9" x14ac:dyDescent="0.25">
      <c r="A22" s="1" t="s">
        <v>149</v>
      </c>
      <c r="B22" s="1" t="s">
        <v>188</v>
      </c>
      <c r="C22" s="1" t="s">
        <v>342</v>
      </c>
      <c r="D22" s="1" t="s">
        <v>20</v>
      </c>
      <c r="E22" s="1" t="s">
        <v>20</v>
      </c>
      <c r="F22" s="1" t="s">
        <v>20</v>
      </c>
      <c r="G22" s="1" t="s">
        <v>343</v>
      </c>
      <c r="H22" s="1" t="s">
        <v>344</v>
      </c>
      <c r="I22" s="1" t="s">
        <v>345</v>
      </c>
    </row>
    <row r="23" spans="1:9" x14ac:dyDescent="0.25">
      <c r="A23" s="1" t="s">
        <v>155</v>
      </c>
      <c r="B23" s="1" t="s">
        <v>346</v>
      </c>
      <c r="C23" s="1" t="s">
        <v>347</v>
      </c>
      <c r="D23" s="1" t="s">
        <v>348</v>
      </c>
      <c r="E23" s="1" t="s">
        <v>349</v>
      </c>
      <c r="F23" s="1" t="s">
        <v>350</v>
      </c>
      <c r="G23" s="1" t="s">
        <v>351</v>
      </c>
      <c r="H23" s="1" t="s">
        <v>352</v>
      </c>
      <c r="I23" s="1" t="s">
        <v>353</v>
      </c>
    </row>
    <row r="24" spans="1:9" x14ac:dyDescent="0.25">
      <c r="A24" s="1" t="s">
        <v>163</v>
      </c>
      <c r="B24" s="1" t="s">
        <v>354</v>
      </c>
      <c r="C24" s="1" t="s">
        <v>355</v>
      </c>
      <c r="D24" s="1" t="s">
        <v>356</v>
      </c>
      <c r="E24" s="1" t="s">
        <v>20</v>
      </c>
      <c r="F24" s="1" t="s">
        <v>357</v>
      </c>
      <c r="G24" s="1" t="s">
        <v>358</v>
      </c>
      <c r="H24" s="1" t="s">
        <v>359</v>
      </c>
      <c r="I24" s="1" t="s">
        <v>360</v>
      </c>
    </row>
    <row r="25" spans="1:9" x14ac:dyDescent="0.25">
      <c r="A25" s="1" t="s">
        <v>171</v>
      </c>
      <c r="B25" s="1" t="s">
        <v>361</v>
      </c>
      <c r="C25" s="1" t="s">
        <v>362</v>
      </c>
      <c r="D25" s="1" t="s">
        <v>363</v>
      </c>
      <c r="E25" s="1" t="s">
        <v>364</v>
      </c>
      <c r="F25" s="1" t="s">
        <v>365</v>
      </c>
      <c r="G25" s="1" t="s">
        <v>366</v>
      </c>
      <c r="H25" s="1" t="s">
        <v>367</v>
      </c>
      <c r="I25" s="1" t="s">
        <v>368</v>
      </c>
    </row>
    <row r="26" spans="1:9" x14ac:dyDescent="0.25">
      <c r="A26" s="1" t="s">
        <v>179</v>
      </c>
      <c r="B26" s="1" t="s">
        <v>369</v>
      </c>
      <c r="C26" s="1" t="s">
        <v>370</v>
      </c>
      <c r="D26" s="1" t="s">
        <v>371</v>
      </c>
      <c r="E26" s="1" t="s">
        <v>372</v>
      </c>
      <c r="F26" s="1" t="s">
        <v>373</v>
      </c>
      <c r="G26" s="1" t="s">
        <v>374</v>
      </c>
      <c r="H26" s="1" t="s">
        <v>375</v>
      </c>
      <c r="I26" s="1" t="s">
        <v>376</v>
      </c>
    </row>
    <row r="27" spans="1:9" x14ac:dyDescent="0.25">
      <c r="A27" s="1" t="s">
        <v>187</v>
      </c>
      <c r="B27" s="1" t="s">
        <v>377</v>
      </c>
      <c r="C27" s="1" t="s">
        <v>378</v>
      </c>
      <c r="D27" s="1" t="s">
        <v>379</v>
      </c>
      <c r="E27" s="1" t="s">
        <v>20</v>
      </c>
      <c r="F27" s="1" t="s">
        <v>380</v>
      </c>
      <c r="G27" s="1" t="s">
        <v>381</v>
      </c>
      <c r="H27" s="1" t="s">
        <v>382</v>
      </c>
      <c r="I27" s="1" t="s">
        <v>383</v>
      </c>
    </row>
    <row r="28" spans="1:9" x14ac:dyDescent="0.25">
      <c r="A28" s="1" t="s">
        <v>195</v>
      </c>
      <c r="B28" s="1" t="s">
        <v>384</v>
      </c>
      <c r="C28" s="1" t="s">
        <v>385</v>
      </c>
      <c r="D28" s="1" t="s">
        <v>386</v>
      </c>
      <c r="E28" s="1" t="s">
        <v>387</v>
      </c>
      <c r="F28" s="1" t="s">
        <v>388</v>
      </c>
      <c r="G28" s="1" t="s">
        <v>389</v>
      </c>
      <c r="H28" s="1" t="s">
        <v>390</v>
      </c>
      <c r="I28" s="1" t="s">
        <v>391</v>
      </c>
    </row>
    <row r="29" spans="1:9" x14ac:dyDescent="0.25">
      <c r="A29" s="1" t="s">
        <v>204</v>
      </c>
      <c r="B29" s="1" t="s">
        <v>392</v>
      </c>
      <c r="C29" s="1" t="s">
        <v>393</v>
      </c>
      <c r="D29" s="1" t="s">
        <v>394</v>
      </c>
      <c r="E29" s="1" t="s">
        <v>20</v>
      </c>
      <c r="F29" s="1" t="s">
        <v>20</v>
      </c>
      <c r="G29" s="1" t="s">
        <v>395</v>
      </c>
      <c r="H29" s="1" t="s">
        <v>396</v>
      </c>
      <c r="I29" s="1" t="s">
        <v>397</v>
      </c>
    </row>
    <row r="30" spans="1:9" x14ac:dyDescent="0.25">
      <c r="A30" s="1" t="s">
        <v>210</v>
      </c>
      <c r="B30" s="1" t="s">
        <v>398</v>
      </c>
      <c r="C30" s="1" t="s">
        <v>399</v>
      </c>
      <c r="D30" s="1" t="s">
        <v>400</v>
      </c>
      <c r="E30" s="1" t="s">
        <v>401</v>
      </c>
      <c r="F30" s="1" t="s">
        <v>402</v>
      </c>
      <c r="G30" s="1" t="s">
        <v>403</v>
      </c>
      <c r="H30" s="1" t="s">
        <v>404</v>
      </c>
      <c r="I30" s="1" t="s">
        <v>405</v>
      </c>
    </row>
    <row r="31" spans="1:9" x14ac:dyDescent="0.25">
      <c r="A31" s="1" t="s">
        <v>218</v>
      </c>
      <c r="B31" s="1" t="s">
        <v>92</v>
      </c>
      <c r="C31" s="1" t="s">
        <v>406</v>
      </c>
      <c r="D31" s="1" t="s">
        <v>407</v>
      </c>
      <c r="E31" s="1" t="s">
        <v>408</v>
      </c>
      <c r="F31" s="1" t="s">
        <v>20</v>
      </c>
      <c r="G31" s="1" t="s">
        <v>409</v>
      </c>
      <c r="H31" s="1" t="s">
        <v>410</v>
      </c>
      <c r="I31" s="1" t="s">
        <v>411</v>
      </c>
    </row>
    <row r="32" spans="1:9" x14ac:dyDescent="0.25">
      <c r="A32" s="1" t="s">
        <v>224</v>
      </c>
      <c r="B32" s="1" t="s">
        <v>412</v>
      </c>
      <c r="C32" s="1" t="s">
        <v>413</v>
      </c>
      <c r="D32" s="1" t="s">
        <v>414</v>
      </c>
      <c r="E32" s="1" t="s">
        <v>415</v>
      </c>
      <c r="F32" s="1" t="s">
        <v>239</v>
      </c>
      <c r="G32" s="1" t="s">
        <v>416</v>
      </c>
      <c r="H32" s="1" t="s">
        <v>417</v>
      </c>
      <c r="I32" s="1" t="s">
        <v>418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6F69-2B25-4686-B457-2F9A58FB419B}">
  <dimension ref="A1:I32"/>
  <sheetViews>
    <sheetView workbookViewId="0">
      <selection activeCell="K13" sqref="K13"/>
    </sheetView>
  </sheetViews>
  <sheetFormatPr defaultRowHeight="15" x14ac:dyDescent="0.25"/>
  <cols>
    <col min="1" max="1" width="14.85546875" bestFit="1" customWidth="1"/>
    <col min="2" max="3" width="18.85546875" bestFit="1" customWidth="1"/>
    <col min="4" max="5" width="19.85546875" bestFit="1" customWidth="1"/>
    <col min="6" max="6" width="18.85546875" bestFit="1" customWidth="1"/>
    <col min="7" max="7" width="20.85546875" bestFit="1" customWidth="1"/>
    <col min="8" max="9" width="19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x14ac:dyDescent="0.25">
      <c r="A3" s="1" t="s">
        <v>18</v>
      </c>
      <c r="B3" s="1" t="s">
        <v>19</v>
      </c>
      <c r="C3" s="1" t="s">
        <v>20</v>
      </c>
      <c r="D3" s="1" t="s">
        <v>20</v>
      </c>
      <c r="E3" s="1" t="s">
        <v>20</v>
      </c>
      <c r="F3" s="1" t="s">
        <v>20</v>
      </c>
      <c r="G3" s="1" t="s">
        <v>419</v>
      </c>
      <c r="H3" s="1" t="s">
        <v>420</v>
      </c>
      <c r="I3" s="1" t="s">
        <v>421</v>
      </c>
    </row>
    <row r="4" spans="1:9" x14ac:dyDescent="0.25">
      <c r="A4" s="1" t="s">
        <v>24</v>
      </c>
      <c r="B4" s="1" t="s">
        <v>422</v>
      </c>
      <c r="C4" s="1" t="s">
        <v>423</v>
      </c>
      <c r="D4" s="1" t="s">
        <v>424</v>
      </c>
      <c r="E4" s="1" t="s">
        <v>425</v>
      </c>
      <c r="F4" s="1" t="s">
        <v>240</v>
      </c>
      <c r="G4" s="1" t="s">
        <v>426</v>
      </c>
      <c r="H4" s="1" t="s">
        <v>427</v>
      </c>
      <c r="I4" s="1" t="s">
        <v>428</v>
      </c>
    </row>
    <row r="5" spans="1:9" x14ac:dyDescent="0.25">
      <c r="A5" s="1" t="s">
        <v>33</v>
      </c>
      <c r="B5" s="1" t="s">
        <v>429</v>
      </c>
      <c r="C5" s="1" t="s">
        <v>430</v>
      </c>
      <c r="D5" s="1" t="s">
        <v>431</v>
      </c>
      <c r="E5" s="1" t="s">
        <v>20</v>
      </c>
      <c r="F5" s="1" t="s">
        <v>20</v>
      </c>
      <c r="G5" s="1" t="s">
        <v>432</v>
      </c>
      <c r="H5" s="1" t="s">
        <v>433</v>
      </c>
      <c r="I5" s="1" t="s">
        <v>434</v>
      </c>
    </row>
    <row r="6" spans="1:9" x14ac:dyDescent="0.25">
      <c r="A6" s="1" t="s">
        <v>40</v>
      </c>
      <c r="B6" s="1" t="s">
        <v>435</v>
      </c>
      <c r="C6" s="1" t="s">
        <v>436</v>
      </c>
      <c r="D6" s="1" t="s">
        <v>437</v>
      </c>
      <c r="E6" s="1" t="s">
        <v>407</v>
      </c>
      <c r="F6" s="1" t="s">
        <v>20</v>
      </c>
      <c r="G6" s="1" t="s">
        <v>438</v>
      </c>
      <c r="H6" s="1" t="s">
        <v>439</v>
      </c>
      <c r="I6" s="1" t="s">
        <v>440</v>
      </c>
    </row>
    <row r="7" spans="1:9" x14ac:dyDescent="0.25">
      <c r="A7" s="1" t="s">
        <v>48</v>
      </c>
      <c r="B7" s="1" t="s">
        <v>441</v>
      </c>
      <c r="C7" s="1" t="s">
        <v>257</v>
      </c>
      <c r="D7" s="1" t="s">
        <v>388</v>
      </c>
      <c r="E7" s="1" t="s">
        <v>442</v>
      </c>
      <c r="F7" s="1" t="s">
        <v>20</v>
      </c>
      <c r="G7" s="1" t="s">
        <v>443</v>
      </c>
      <c r="H7" s="1" t="s">
        <v>444</v>
      </c>
      <c r="I7" s="1" t="s">
        <v>445</v>
      </c>
    </row>
    <row r="8" spans="1:9" x14ac:dyDescent="0.25">
      <c r="A8" s="1" t="s">
        <v>56</v>
      </c>
      <c r="B8" s="1" t="s">
        <v>446</v>
      </c>
      <c r="C8" s="1" t="s">
        <v>447</v>
      </c>
      <c r="D8" s="1" t="s">
        <v>20</v>
      </c>
      <c r="E8" s="1" t="s">
        <v>20</v>
      </c>
      <c r="F8" s="1" t="s">
        <v>20</v>
      </c>
      <c r="G8" s="1" t="s">
        <v>448</v>
      </c>
      <c r="H8" s="1" t="s">
        <v>449</v>
      </c>
      <c r="I8" s="1" t="s">
        <v>450</v>
      </c>
    </row>
    <row r="9" spans="1:9" x14ac:dyDescent="0.25">
      <c r="A9" s="1" t="s">
        <v>62</v>
      </c>
      <c r="B9" s="1" t="s">
        <v>451</v>
      </c>
      <c r="C9" s="1" t="s">
        <v>452</v>
      </c>
      <c r="D9" s="1" t="s">
        <v>453</v>
      </c>
      <c r="E9" s="1" t="s">
        <v>454</v>
      </c>
      <c r="F9" s="1" t="s">
        <v>251</v>
      </c>
      <c r="G9" s="1" t="s">
        <v>455</v>
      </c>
      <c r="H9" s="1" t="s">
        <v>456</v>
      </c>
      <c r="I9" s="1" t="s">
        <v>457</v>
      </c>
    </row>
    <row r="10" spans="1:9" x14ac:dyDescent="0.25">
      <c r="A10" s="1" t="s">
        <v>71</v>
      </c>
      <c r="B10" s="1" t="s">
        <v>458</v>
      </c>
      <c r="C10" s="1" t="s">
        <v>459</v>
      </c>
      <c r="D10" s="1" t="s">
        <v>460</v>
      </c>
      <c r="E10" s="1" t="s">
        <v>461</v>
      </c>
      <c r="F10" s="1" t="s">
        <v>280</v>
      </c>
      <c r="G10" s="1" t="s">
        <v>462</v>
      </c>
      <c r="H10" s="1" t="s">
        <v>463</v>
      </c>
      <c r="I10" s="1" t="s">
        <v>464</v>
      </c>
    </row>
    <row r="11" spans="1:9" x14ac:dyDescent="0.25">
      <c r="A11" s="1" t="s">
        <v>79</v>
      </c>
      <c r="B11" s="1" t="s">
        <v>34</v>
      </c>
      <c r="C11" s="1" t="s">
        <v>35</v>
      </c>
      <c r="D11" s="1" t="s">
        <v>20</v>
      </c>
      <c r="E11" s="1" t="s">
        <v>20</v>
      </c>
      <c r="F11" s="1" t="s">
        <v>20</v>
      </c>
      <c r="G11" s="1" t="s">
        <v>465</v>
      </c>
      <c r="H11" s="1" t="s">
        <v>466</v>
      </c>
      <c r="I11" s="1" t="s">
        <v>467</v>
      </c>
    </row>
    <row r="12" spans="1:9" x14ac:dyDescent="0.25">
      <c r="A12" s="1" t="s">
        <v>85</v>
      </c>
      <c r="B12" s="1" t="s">
        <v>468</v>
      </c>
      <c r="C12" s="1" t="s">
        <v>229</v>
      </c>
      <c r="D12" s="1" t="s">
        <v>469</v>
      </c>
      <c r="E12" s="1" t="s">
        <v>20</v>
      </c>
      <c r="F12" s="1" t="s">
        <v>20</v>
      </c>
      <c r="G12" s="1" t="s">
        <v>470</v>
      </c>
      <c r="H12" s="1" t="s">
        <v>471</v>
      </c>
      <c r="I12" s="1" t="s">
        <v>472</v>
      </c>
    </row>
    <row r="13" spans="1:9" x14ac:dyDescent="0.25">
      <c r="A13" s="1" t="s">
        <v>91</v>
      </c>
      <c r="B13" s="1" t="s">
        <v>473</v>
      </c>
      <c r="C13" s="1" t="s">
        <v>474</v>
      </c>
      <c r="D13" s="1" t="s">
        <v>407</v>
      </c>
      <c r="E13" s="1" t="s">
        <v>20</v>
      </c>
      <c r="F13" s="1" t="s">
        <v>20</v>
      </c>
      <c r="G13" s="1" t="s">
        <v>475</v>
      </c>
      <c r="H13" s="1" t="s">
        <v>476</v>
      </c>
      <c r="I13" s="1" t="s">
        <v>477</v>
      </c>
    </row>
    <row r="14" spans="1:9" x14ac:dyDescent="0.25">
      <c r="A14" s="1" t="s">
        <v>97</v>
      </c>
      <c r="B14" s="1" t="s">
        <v>478</v>
      </c>
      <c r="C14" s="1" t="s">
        <v>167</v>
      </c>
      <c r="D14" s="1" t="s">
        <v>20</v>
      </c>
      <c r="E14" s="1" t="s">
        <v>20</v>
      </c>
      <c r="F14" s="1" t="s">
        <v>20</v>
      </c>
      <c r="G14" s="1" t="s">
        <v>479</v>
      </c>
      <c r="H14" s="1" t="s">
        <v>480</v>
      </c>
      <c r="I14" s="1" t="s">
        <v>481</v>
      </c>
    </row>
    <row r="15" spans="1:9" x14ac:dyDescent="0.25">
      <c r="A15" s="1" t="s">
        <v>103</v>
      </c>
      <c r="B15" s="1" t="s">
        <v>482</v>
      </c>
      <c r="C15" s="1" t="s">
        <v>483</v>
      </c>
      <c r="D15" s="1" t="s">
        <v>20</v>
      </c>
      <c r="E15" s="1" t="s">
        <v>20</v>
      </c>
      <c r="F15" s="1" t="s">
        <v>20</v>
      </c>
      <c r="G15" s="1" t="s">
        <v>484</v>
      </c>
      <c r="H15" s="1" t="s">
        <v>485</v>
      </c>
      <c r="I15" s="1" t="s">
        <v>486</v>
      </c>
    </row>
    <row r="16" spans="1:9" x14ac:dyDescent="0.25">
      <c r="A16" s="1" t="s">
        <v>109</v>
      </c>
      <c r="B16" s="1" t="s">
        <v>487</v>
      </c>
      <c r="C16" s="1" t="s">
        <v>488</v>
      </c>
      <c r="D16" s="1" t="s">
        <v>20</v>
      </c>
      <c r="E16" s="1" t="s">
        <v>489</v>
      </c>
      <c r="F16" s="1" t="s">
        <v>20</v>
      </c>
      <c r="G16" s="1" t="s">
        <v>490</v>
      </c>
      <c r="H16" s="1" t="s">
        <v>491</v>
      </c>
      <c r="I16" s="1" t="s">
        <v>492</v>
      </c>
    </row>
    <row r="17" spans="1:9" x14ac:dyDescent="0.25">
      <c r="A17" s="1" t="s">
        <v>116</v>
      </c>
      <c r="B17" s="1" t="s">
        <v>493</v>
      </c>
      <c r="C17" s="1" t="s">
        <v>494</v>
      </c>
      <c r="D17" s="1" t="s">
        <v>20</v>
      </c>
      <c r="E17" s="1" t="s">
        <v>20</v>
      </c>
      <c r="F17" s="1" t="s">
        <v>20</v>
      </c>
      <c r="G17" s="1" t="s">
        <v>495</v>
      </c>
      <c r="H17" s="1" t="s">
        <v>496</v>
      </c>
      <c r="I17" s="1" t="s">
        <v>497</v>
      </c>
    </row>
    <row r="18" spans="1:9" x14ac:dyDescent="0.25">
      <c r="A18" s="1" t="s">
        <v>122</v>
      </c>
      <c r="B18" s="1" t="s">
        <v>473</v>
      </c>
      <c r="C18" s="1" t="s">
        <v>498</v>
      </c>
      <c r="D18" s="1" t="s">
        <v>112</v>
      </c>
      <c r="E18" s="1" t="s">
        <v>20</v>
      </c>
      <c r="F18" s="1" t="s">
        <v>20</v>
      </c>
      <c r="G18" s="1" t="s">
        <v>499</v>
      </c>
      <c r="H18" s="1" t="s">
        <v>500</v>
      </c>
      <c r="I18" s="1" t="s">
        <v>501</v>
      </c>
    </row>
    <row r="19" spans="1:9" x14ac:dyDescent="0.25">
      <c r="A19" s="1" t="s">
        <v>128</v>
      </c>
      <c r="B19" s="1" t="s">
        <v>502</v>
      </c>
      <c r="C19" s="1" t="s">
        <v>408</v>
      </c>
      <c r="D19" s="1" t="s">
        <v>20</v>
      </c>
      <c r="E19" s="1" t="s">
        <v>20</v>
      </c>
      <c r="F19" s="1" t="s">
        <v>20</v>
      </c>
      <c r="G19" s="1" t="s">
        <v>503</v>
      </c>
      <c r="H19" s="1" t="s">
        <v>504</v>
      </c>
      <c r="I19" s="1" t="s">
        <v>505</v>
      </c>
    </row>
    <row r="20" spans="1:9" x14ac:dyDescent="0.25">
      <c r="A20" s="1" t="s">
        <v>134</v>
      </c>
      <c r="B20" s="1" t="s">
        <v>506</v>
      </c>
      <c r="C20" s="1" t="s">
        <v>437</v>
      </c>
      <c r="D20" s="1" t="s">
        <v>20</v>
      </c>
      <c r="E20" s="1" t="s">
        <v>20</v>
      </c>
      <c r="F20" s="1" t="s">
        <v>20</v>
      </c>
      <c r="G20" s="1" t="s">
        <v>507</v>
      </c>
      <c r="H20" s="1" t="s">
        <v>508</v>
      </c>
      <c r="I20" s="1" t="s">
        <v>509</v>
      </c>
    </row>
    <row r="21" spans="1:9" x14ac:dyDescent="0.25">
      <c r="A21" s="1" t="s">
        <v>140</v>
      </c>
      <c r="B21" s="1" t="s">
        <v>510</v>
      </c>
      <c r="C21" s="1" t="s">
        <v>511</v>
      </c>
      <c r="D21" s="1" t="s">
        <v>512</v>
      </c>
      <c r="E21" s="1" t="s">
        <v>337</v>
      </c>
      <c r="F21" s="1" t="s">
        <v>105</v>
      </c>
      <c r="G21" s="1" t="s">
        <v>513</v>
      </c>
      <c r="H21" s="1" t="s">
        <v>514</v>
      </c>
      <c r="I21" s="1" t="s">
        <v>515</v>
      </c>
    </row>
    <row r="22" spans="1:9" x14ac:dyDescent="0.25">
      <c r="A22" s="1" t="s">
        <v>149</v>
      </c>
      <c r="B22" s="1" t="s">
        <v>516</v>
      </c>
      <c r="C22" s="1" t="s">
        <v>517</v>
      </c>
      <c r="D22" s="1" t="s">
        <v>20</v>
      </c>
      <c r="E22" s="1" t="s">
        <v>20</v>
      </c>
      <c r="F22" s="1" t="s">
        <v>20</v>
      </c>
      <c r="G22" s="1" t="s">
        <v>518</v>
      </c>
      <c r="H22" s="1" t="s">
        <v>519</v>
      </c>
      <c r="I22" s="1" t="s">
        <v>520</v>
      </c>
    </row>
    <row r="23" spans="1:9" x14ac:dyDescent="0.25">
      <c r="A23" s="1" t="s">
        <v>155</v>
      </c>
      <c r="B23" s="1" t="s">
        <v>521</v>
      </c>
      <c r="C23" s="1" t="s">
        <v>157</v>
      </c>
      <c r="D23" s="1" t="s">
        <v>522</v>
      </c>
      <c r="E23" s="1" t="s">
        <v>523</v>
      </c>
      <c r="F23" s="1" t="s">
        <v>372</v>
      </c>
      <c r="G23" s="1" t="s">
        <v>524</v>
      </c>
      <c r="H23" s="1" t="s">
        <v>525</v>
      </c>
      <c r="I23" s="1" t="s">
        <v>526</v>
      </c>
    </row>
    <row r="24" spans="1:9" x14ac:dyDescent="0.25">
      <c r="A24" s="1" t="s">
        <v>163</v>
      </c>
      <c r="B24" s="1" t="s">
        <v>527</v>
      </c>
      <c r="C24" s="1" t="s">
        <v>528</v>
      </c>
      <c r="D24" s="1" t="s">
        <v>529</v>
      </c>
      <c r="E24" s="1" t="s">
        <v>20</v>
      </c>
      <c r="F24" s="1" t="s">
        <v>51</v>
      </c>
      <c r="G24" s="1" t="s">
        <v>530</v>
      </c>
      <c r="H24" s="1" t="s">
        <v>531</v>
      </c>
      <c r="I24" s="1" t="s">
        <v>532</v>
      </c>
    </row>
    <row r="25" spans="1:9" x14ac:dyDescent="0.25">
      <c r="A25" s="1" t="s">
        <v>171</v>
      </c>
      <c r="B25" s="1" t="s">
        <v>533</v>
      </c>
      <c r="C25" s="1" t="s">
        <v>534</v>
      </c>
      <c r="D25" s="1" t="s">
        <v>535</v>
      </c>
      <c r="E25" s="1" t="s">
        <v>536</v>
      </c>
      <c r="F25" s="1" t="s">
        <v>537</v>
      </c>
      <c r="G25" s="1" t="s">
        <v>538</v>
      </c>
      <c r="H25" s="1" t="s">
        <v>539</v>
      </c>
      <c r="I25" s="1" t="s">
        <v>540</v>
      </c>
    </row>
    <row r="26" spans="1:9" x14ac:dyDescent="0.25">
      <c r="A26" s="1" t="s">
        <v>179</v>
      </c>
      <c r="B26" s="1" t="s">
        <v>541</v>
      </c>
      <c r="C26" s="1" t="s">
        <v>542</v>
      </c>
      <c r="D26" s="1" t="s">
        <v>543</v>
      </c>
      <c r="E26" s="1" t="s">
        <v>544</v>
      </c>
      <c r="F26" s="1" t="s">
        <v>545</v>
      </c>
      <c r="G26" s="1" t="s">
        <v>546</v>
      </c>
      <c r="H26" s="1" t="s">
        <v>547</v>
      </c>
      <c r="I26" s="1" t="s">
        <v>548</v>
      </c>
    </row>
    <row r="27" spans="1:9" x14ac:dyDescent="0.25">
      <c r="A27" s="1" t="s">
        <v>187</v>
      </c>
      <c r="B27" s="1" t="s">
        <v>549</v>
      </c>
      <c r="C27" s="1" t="s">
        <v>378</v>
      </c>
      <c r="D27" s="1" t="s">
        <v>550</v>
      </c>
      <c r="E27" s="1" t="s">
        <v>20</v>
      </c>
      <c r="F27" s="1" t="s">
        <v>551</v>
      </c>
      <c r="G27" s="1" t="s">
        <v>552</v>
      </c>
      <c r="H27" s="1" t="s">
        <v>553</v>
      </c>
      <c r="I27" s="1" t="s">
        <v>554</v>
      </c>
    </row>
    <row r="28" spans="1:9" x14ac:dyDescent="0.25">
      <c r="A28" s="1" t="s">
        <v>195</v>
      </c>
      <c r="B28" s="1" t="s">
        <v>555</v>
      </c>
      <c r="C28" s="1" t="s">
        <v>556</v>
      </c>
      <c r="D28" s="1" t="s">
        <v>557</v>
      </c>
      <c r="E28" s="1" t="s">
        <v>394</v>
      </c>
      <c r="F28" s="1" t="s">
        <v>388</v>
      </c>
      <c r="G28" s="1" t="s">
        <v>558</v>
      </c>
      <c r="H28" s="1" t="s">
        <v>559</v>
      </c>
      <c r="I28" s="1" t="s">
        <v>560</v>
      </c>
    </row>
    <row r="29" spans="1:9" x14ac:dyDescent="0.25">
      <c r="A29" s="1" t="s">
        <v>204</v>
      </c>
      <c r="B29" s="1" t="s">
        <v>561</v>
      </c>
      <c r="C29" s="1" t="s">
        <v>562</v>
      </c>
      <c r="D29" s="1" t="s">
        <v>523</v>
      </c>
      <c r="E29" s="1" t="s">
        <v>20</v>
      </c>
      <c r="F29" s="1" t="s">
        <v>20</v>
      </c>
      <c r="G29" s="1" t="s">
        <v>563</v>
      </c>
      <c r="H29" s="1" t="s">
        <v>564</v>
      </c>
      <c r="I29" s="1" t="s">
        <v>565</v>
      </c>
    </row>
    <row r="30" spans="1:9" x14ac:dyDescent="0.25">
      <c r="A30" s="1" t="s">
        <v>210</v>
      </c>
      <c r="B30" s="1" t="s">
        <v>398</v>
      </c>
      <c r="C30" s="1" t="s">
        <v>143</v>
      </c>
      <c r="D30" s="1" t="s">
        <v>566</v>
      </c>
      <c r="E30" s="1" t="s">
        <v>401</v>
      </c>
      <c r="F30" s="1" t="s">
        <v>567</v>
      </c>
      <c r="G30" s="1" t="s">
        <v>568</v>
      </c>
      <c r="H30" s="1" t="s">
        <v>569</v>
      </c>
      <c r="I30" s="1" t="s">
        <v>570</v>
      </c>
    </row>
    <row r="31" spans="1:9" x14ac:dyDescent="0.25">
      <c r="A31" s="1" t="s">
        <v>218</v>
      </c>
      <c r="B31" s="1" t="s">
        <v>571</v>
      </c>
      <c r="C31" s="1" t="s">
        <v>572</v>
      </c>
      <c r="D31" s="1" t="s">
        <v>573</v>
      </c>
      <c r="E31" s="1" t="s">
        <v>372</v>
      </c>
      <c r="F31" s="1" t="s">
        <v>20</v>
      </c>
      <c r="G31" s="1" t="s">
        <v>574</v>
      </c>
      <c r="H31" s="1" t="s">
        <v>575</v>
      </c>
      <c r="I31" s="1" t="s">
        <v>576</v>
      </c>
    </row>
    <row r="32" spans="1:9" x14ac:dyDescent="0.25">
      <c r="A32" s="1" t="s">
        <v>224</v>
      </c>
      <c r="B32" s="1" t="s">
        <v>577</v>
      </c>
      <c r="C32" s="1" t="s">
        <v>578</v>
      </c>
      <c r="D32" s="1" t="s">
        <v>579</v>
      </c>
      <c r="E32" s="1" t="s">
        <v>580</v>
      </c>
      <c r="F32" s="1" t="s">
        <v>581</v>
      </c>
      <c r="G32" s="1" t="s">
        <v>582</v>
      </c>
      <c r="H32" s="1" t="s">
        <v>583</v>
      </c>
      <c r="I32" s="1" t="s">
        <v>584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6D68-A32E-441C-93C2-87E725E3E08D}">
  <dimension ref="A1:C31"/>
  <sheetViews>
    <sheetView tabSelected="1" workbookViewId="0">
      <selection activeCell="B2" sqref="B2"/>
    </sheetView>
  </sheetViews>
  <sheetFormatPr defaultRowHeight="15" x14ac:dyDescent="0.25"/>
  <cols>
    <col min="1" max="1" width="14.85546875" bestFit="1" customWidth="1"/>
  </cols>
  <sheetData>
    <row r="1" spans="1:3" x14ac:dyDescent="0.25">
      <c r="A1" t="s">
        <v>585</v>
      </c>
      <c r="B1" t="s">
        <v>586</v>
      </c>
    </row>
    <row r="2" spans="1:3" x14ac:dyDescent="0.25">
      <c r="A2" s="2" t="s">
        <v>18</v>
      </c>
      <c r="B2" s="4">
        <f>MIN(Loop!I3,Autotune!I3,Autosens!I3)</f>
        <v>0</v>
      </c>
      <c r="C2" t="e" vm="1">
        <f>_xleta.MIN</f>
        <v>#VALUE!</v>
      </c>
    </row>
    <row r="3" spans="1:3" x14ac:dyDescent="0.25">
      <c r="A3" s="3" t="s">
        <v>24</v>
      </c>
    </row>
    <row r="4" spans="1:3" x14ac:dyDescent="0.25">
      <c r="A4" s="2" t="s">
        <v>33</v>
      </c>
    </row>
    <row r="5" spans="1:3" x14ac:dyDescent="0.25">
      <c r="A5" s="3" t="s">
        <v>40</v>
      </c>
    </row>
    <row r="6" spans="1:3" x14ac:dyDescent="0.25">
      <c r="A6" s="2" t="s">
        <v>48</v>
      </c>
    </row>
    <row r="7" spans="1:3" x14ac:dyDescent="0.25">
      <c r="A7" s="3" t="s">
        <v>56</v>
      </c>
    </row>
    <row r="8" spans="1:3" x14ac:dyDescent="0.25">
      <c r="A8" s="2" t="s">
        <v>62</v>
      </c>
    </row>
    <row r="9" spans="1:3" x14ac:dyDescent="0.25">
      <c r="A9" s="3" t="s">
        <v>71</v>
      </c>
    </row>
    <row r="10" spans="1:3" x14ac:dyDescent="0.25">
      <c r="A10" s="2" t="s">
        <v>79</v>
      </c>
    </row>
    <row r="11" spans="1:3" x14ac:dyDescent="0.25">
      <c r="A11" s="3" t="s">
        <v>85</v>
      </c>
    </row>
    <row r="12" spans="1:3" x14ac:dyDescent="0.25">
      <c r="A12" s="2" t="s">
        <v>91</v>
      </c>
    </row>
    <row r="13" spans="1:3" x14ac:dyDescent="0.25">
      <c r="A13" s="3" t="s">
        <v>97</v>
      </c>
    </row>
    <row r="14" spans="1:3" x14ac:dyDescent="0.25">
      <c r="A14" s="2" t="s">
        <v>103</v>
      </c>
    </row>
    <row r="15" spans="1:3" x14ac:dyDescent="0.25">
      <c r="A15" s="3" t="s">
        <v>109</v>
      </c>
    </row>
    <row r="16" spans="1:3" x14ac:dyDescent="0.25">
      <c r="A16" s="2" t="s">
        <v>116</v>
      </c>
    </row>
    <row r="17" spans="1:1" x14ac:dyDescent="0.25">
      <c r="A17" s="3" t="s">
        <v>122</v>
      </c>
    </row>
    <row r="18" spans="1:1" x14ac:dyDescent="0.25">
      <c r="A18" s="2" t="s">
        <v>128</v>
      </c>
    </row>
    <row r="19" spans="1:1" x14ac:dyDescent="0.25">
      <c r="A19" s="3" t="s">
        <v>134</v>
      </c>
    </row>
    <row r="20" spans="1:1" x14ac:dyDescent="0.25">
      <c r="A20" s="2" t="s">
        <v>140</v>
      </c>
    </row>
    <row r="21" spans="1:1" x14ac:dyDescent="0.25">
      <c r="A21" s="3" t="s">
        <v>149</v>
      </c>
    </row>
    <row r="22" spans="1:1" x14ac:dyDescent="0.25">
      <c r="A22" s="2" t="s">
        <v>155</v>
      </c>
    </row>
    <row r="23" spans="1:1" x14ac:dyDescent="0.25">
      <c r="A23" s="3" t="s">
        <v>163</v>
      </c>
    </row>
    <row r="24" spans="1:1" x14ac:dyDescent="0.25">
      <c r="A24" s="2" t="s">
        <v>171</v>
      </c>
    </row>
    <row r="25" spans="1:1" x14ac:dyDescent="0.25">
      <c r="A25" s="3" t="s">
        <v>179</v>
      </c>
    </row>
    <row r="26" spans="1:1" x14ac:dyDescent="0.25">
      <c r="A26" s="2" t="s">
        <v>187</v>
      </c>
    </row>
    <row r="27" spans="1:1" x14ac:dyDescent="0.25">
      <c r="A27" s="3" t="s">
        <v>195</v>
      </c>
    </row>
    <row r="28" spans="1:1" x14ac:dyDescent="0.25">
      <c r="A28" s="2" t="s">
        <v>204</v>
      </c>
    </row>
    <row r="29" spans="1:1" x14ac:dyDescent="0.25">
      <c r="A29" s="3" t="s">
        <v>210</v>
      </c>
    </row>
    <row r="30" spans="1:1" x14ac:dyDescent="0.25">
      <c r="A30" s="2" t="s">
        <v>218</v>
      </c>
    </row>
    <row r="31" spans="1:1" x14ac:dyDescent="0.25">
      <c r="A31" s="3" t="s">
        <v>224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BF4F54-254A-4612-A560-D428B794E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Loop</vt:lpstr>
      <vt:lpstr>Autotune</vt:lpstr>
      <vt:lpstr>Autosens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Sigrid Tofte Thiis</dc:creator>
  <cp:lastModifiedBy>Sigrid Tofte Thiis</cp:lastModifiedBy>
  <dcterms:created xsi:type="dcterms:W3CDTF">2026-04-18T09:04:27Z</dcterms:created>
  <dcterms:modified xsi:type="dcterms:W3CDTF">2026-04-18T09:04:27Z</dcterms:modified>
</cp:coreProperties>
</file>