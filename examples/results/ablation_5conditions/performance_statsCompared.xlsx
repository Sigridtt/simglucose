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ridtt\Documents\project\simglucose\examples\results\ablation_5conditions\"/>
    </mc:Choice>
  </mc:AlternateContent>
  <xr:revisionPtr revIDLastSave="0" documentId="13_ncr:9_{E209446B-7B8D-4D9C-BAA7-6007B9D06886}" xr6:coauthVersionLast="47" xr6:coauthVersionMax="47" xr10:uidLastSave="{00000000-0000-0000-0000-000000000000}"/>
  <bookViews>
    <workbookView xWindow="-38520" yWindow="-120" windowWidth="38640" windowHeight="21240" activeTab="3" xr2:uid="{091AD87F-944C-4781-9E66-8457923CBF9E}"/>
  </bookViews>
  <sheets>
    <sheet name="Loop" sheetId="2" r:id="rId1"/>
    <sheet name="Autotune" sheetId="4" r:id="rId2"/>
    <sheet name="Autosens" sheetId="5" r:id="rId3"/>
    <sheet name="Sheet1" sheetId="3" r:id="rId4"/>
  </sheets>
  <definedNames>
    <definedName name="ExternalData_1" localSheetId="2" hidden="1">Autosens!$A$1:$I$32</definedName>
    <definedName name="ExternalData_1" localSheetId="1" hidden="1">Autotune!$A$1:$I$32</definedName>
    <definedName name="ExternalData_1" localSheetId="0" hidden="1">Loop!$A$1:$I$32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AA2F77-A4BE-4E44-A187-585099ACBC4B}" keepAlive="1" name="Query - performance_stats" description="Connection to the 'performance_stats' query in the workbook." type="5" refreshedVersion="8" background="1" saveData="1">
    <dbPr connection="Provider=Microsoft.Mashup.OleDb.1;Data Source=$Workbook$;Location=performance_stats;Extended Properties=&quot;&quot;" command="SELECT * FROM [performance_stats]"/>
  </connection>
  <connection id="2" xr16:uid="{2AD7072A-5FA6-4857-A503-3803D06EEE8D}" keepAlive="1" name="Query - performance_stats (2)" description="Connection to the 'performance_stats (2)' query in the workbook." type="5" refreshedVersion="8" background="1" saveData="1">
    <dbPr connection="Provider=Microsoft.Mashup.OleDb.1;Data Source=$Workbook$;Location=&quot;performance_stats (2)&quot;;Extended Properties=&quot;&quot;" command="SELECT * FROM [performance_stats (2)]"/>
  </connection>
  <connection id="3" xr16:uid="{583AAB1E-7C14-4153-8E44-CB10D1BC6C9F}" keepAlive="1" name="Query - performance_stats (3)" description="Connection to the 'performance_stats (3)' query in the workbook." type="5" refreshedVersion="8" background="1" saveData="1">
    <dbPr connection="Provider=Microsoft.Mashup.OleDb.1;Data Source=$Workbook$;Location=&quot;performance_stats (3)&quot;;Extended Properties=&quot;&quot;" command="SELECT * FROM [performance_stats (3)]"/>
  </connection>
</connections>
</file>

<file path=xl/sharedStrings.xml><?xml version="1.0" encoding="utf-8"?>
<sst xmlns="http://schemas.openxmlformats.org/spreadsheetml/2006/main" count="183" uniqueCount="54">
  <si>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</si>
  <si>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</si>
  <si>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</si>
  <si>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</si>
  <si>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</si>
  <si>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</si>
  <si>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</si>
  <si>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</si>
  <si>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</si>
  <si>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/>
  </si>
  <si>
    <t>70&lt;=BG&lt;=180</t>
  </si>
  <si>
    <t>BG&gt;180</t>
  </si>
  <si>
    <t>BG&lt;70</t>
  </si>
  <si>
    <t>BG&gt;250</t>
  </si>
  <si>
    <t>BG&lt;50</t>
  </si>
  <si>
    <t>LBGI</t>
  </si>
  <si>
    <t>HBGI</t>
  </si>
  <si>
    <t>Risk Index</t>
  </si>
  <si>
    <t>adolescent#001</t>
  </si>
  <si>
    <t>adolescent#002</t>
  </si>
  <si>
    <t>adolescent#003</t>
  </si>
  <si>
    <t>adolescent#004</t>
  </si>
  <si>
    <t>adolescent#005</t>
  </si>
  <si>
    <t>adolescent#006</t>
  </si>
  <si>
    <t>adolescent#007</t>
  </si>
  <si>
    <t>adolescent#008</t>
  </si>
  <si>
    <t>adolescent#009</t>
  </si>
  <si>
    <t>adolescent#010</t>
  </si>
  <si>
    <t>adult#001</t>
  </si>
  <si>
    <t>adult#002</t>
  </si>
  <si>
    <t>adult#003</t>
  </si>
  <si>
    <t>adult#004</t>
  </si>
  <si>
    <t>adult#005</t>
  </si>
  <si>
    <t>adult#006</t>
  </si>
  <si>
    <t>adult#007</t>
  </si>
  <si>
    <t>adult#008</t>
  </si>
  <si>
    <t>adult#009</t>
  </si>
  <si>
    <t>adult#010</t>
  </si>
  <si>
    <t>child#001</t>
  </si>
  <si>
    <t>child#002</t>
  </si>
  <si>
    <t>child#003</t>
  </si>
  <si>
    <t>child#004</t>
  </si>
  <si>
    <t>child#005</t>
  </si>
  <si>
    <t>child#006</t>
  </si>
  <si>
    <t>child#007</t>
  </si>
  <si>
    <t>child#008</t>
  </si>
  <si>
    <t>child#009</t>
  </si>
  <si>
    <t>child#010</t>
  </si>
  <si>
    <t>Controller</t>
  </si>
  <si>
    <t xml:space="preserve">Patient </t>
  </si>
  <si>
    <t>Loop</t>
  </si>
  <si>
    <t>Autotune</t>
  </si>
  <si>
    <t>Autosens</t>
  </si>
  <si>
    <t>Min risk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</si>
</sst>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;[Red]0.00"/>
    <numFmt numFmtId="175" formatCode="0.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10" xfId="0" applyNumberFormat="1" applyFont="1" applyBorder="1"/>
    <xf numFmtId="0" fontId="0" fillId="33" borderId="10" xfId="0" applyNumberFormat="1" applyFont="1" applyFill="1" applyBorder="1"/>
    <xf numFmtId="2" fontId="0" fillId="0" borderId="0" xfId="0" applyNumberFormat="1"/>
    <xf numFmtId="168" fontId="0" fillId="0" borderId="0" xfId="0" applyNumberFormat="1"/>
    <xf numFmtId="0" fontId="0" fillId="33" borderId="12" xfId="0" applyNumberFormat="1" applyFont="1" applyFill="1" applyBorder="1"/>
    <xf numFmtId="0" fontId="0" fillId="0" borderId="12" xfId="0" applyNumberFormat="1" applyFont="1" applyBorder="1"/>
    <xf numFmtId="0" fontId="0" fillId="0" borderId="11" xfId="0" applyNumberFormat="1" applyFont="1" applyBorder="1"/>
    <xf numFmtId="0" fontId="0" fillId="33" borderId="11" xfId="0" applyNumberFormat="1" applyFont="1" applyFill="1" applyBorder="1"/>
    <xf numFmtId="0" fontId="0" fillId="33" borderId="0" xfId="0" applyNumberFormat="1" applyFont="1" applyFill="1" applyBorder="1"/>
    <xf numFmtId="17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A252B5-635F-4F5B-9876-B4C2A83718F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8A7B47-9BF2-4173-A060-4F422C3AC42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2F85AC4-C3A7-4201-8C97-04AF66308D0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78294-9D60-416B-B8AA-C9EE1B771038}" name="performance_stats" displayName="performance_stats" ref="A1:I32" tableType="queryTable" totalsRowShown="0">
  <autoFilter ref="A1:I32" xr:uid="{44178294-9D60-416B-B8AA-C9EE1B771038}"/>
  <tableColumns count="9">
    <tableColumn id="1" xr3:uid="{0527A4EC-9935-4416-930F-09FA34D45D5F}" uniqueName="1" name="Column1" queryTableFieldId="1" dataDxfId="26"/>
    <tableColumn id="2" xr3:uid="{66164A56-D261-4859-B00E-920F1EE8CC12}" uniqueName="2" name="Column2" queryTableFieldId="2" dataDxfId="25"/>
    <tableColumn id="3" xr3:uid="{9FF850FF-6016-46FA-898A-D7C9565F5C10}" uniqueName="3" name="Column3" queryTableFieldId="3" dataDxfId="24"/>
    <tableColumn id="4" xr3:uid="{D3D61AB2-41AF-4A4D-B9FD-45EBA37DF047}" uniqueName="4" name="Column4" queryTableFieldId="4" dataDxfId="23"/>
    <tableColumn id="5" xr3:uid="{FFFA6380-70F5-445B-A8BA-C4C17F90A320}" uniqueName="5" name="Column5" queryTableFieldId="5" dataDxfId="22"/>
    <tableColumn id="6" xr3:uid="{CF7817D0-DAF0-4AA7-B75E-EB95033AD1D1}" uniqueName="6" name="Column6" queryTableFieldId="6" dataDxfId="21"/>
    <tableColumn id="7" xr3:uid="{8599D3B7-3399-42B0-8078-63A4128EC8D6}" uniqueName="7" name="Column7" queryTableFieldId="7" dataDxfId="20"/>
    <tableColumn id="8" xr3:uid="{77A8B54D-EE15-4096-8FB2-5C3F5996F2FE}" uniqueName="8" name="Column8" queryTableFieldId="8" dataDxfId="19"/>
    <tableColumn id="9" xr3:uid="{94CD6235-A048-40EA-8D4B-1F9B19485693}" uniqueName="9" name="Column9" queryTableFieldId="9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A371C-0029-4466-92D5-27013411D79D}" name="performance_stats__2" displayName="performance_stats__2" ref="A1:I32" tableType="queryTable" totalsRowShown="0">
  <autoFilter ref="A1:I32" xr:uid="{900A371C-0029-4466-92D5-27013411D79D}"/>
  <tableColumns count="9">
    <tableColumn id="1" xr3:uid="{B90122B4-4E21-4978-B426-E2E13C75F35E}" uniqueName="1" name="Column1" queryTableFieldId="1" dataDxfId="17"/>
    <tableColumn id="2" xr3:uid="{A6B392BF-FD3B-4AC4-A3FA-4473AB45CC93}" uniqueName="2" name="Column2" queryTableFieldId="2" dataDxfId="16"/>
    <tableColumn id="3" xr3:uid="{4CA1E6D5-818A-4139-9865-2D21DAB14124}" uniqueName="3" name="Column3" queryTableFieldId="3" dataDxfId="15"/>
    <tableColumn id="4" xr3:uid="{B71BD048-CE61-48F4-9CE7-1EE7D2C4A04E}" uniqueName="4" name="Column4" queryTableFieldId="4" dataDxfId="14"/>
    <tableColumn id="5" xr3:uid="{A81EB0A6-6149-465C-B62B-7EEEF66A8283}" uniqueName="5" name="Column5" queryTableFieldId="5" dataDxfId="13"/>
    <tableColumn id="6" xr3:uid="{8D1BCF48-EE29-4C4B-B010-7D2BF1182AE4}" uniqueName="6" name="Column6" queryTableFieldId="6" dataDxfId="12"/>
    <tableColumn id="7" xr3:uid="{27E27D1D-9C0A-4AAC-8827-7D07BFF415CB}" uniqueName="7" name="Column7" queryTableFieldId="7" dataDxfId="11"/>
    <tableColumn id="8" xr3:uid="{E9BC6A81-EF44-4CDA-83F6-E9CF91448E59}" uniqueName="8" name="Column8" queryTableFieldId="8" dataDxfId="10"/>
    <tableColumn id="9" xr3:uid="{AF10321B-E26D-498B-B25E-AE3E2E408A0A}" uniqueName="9" name="Column9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9C709-7EA6-4C5A-B57C-041A7E773EF7}" name="performance_stats__3" displayName="performance_stats__3" ref="A1:I32" tableType="queryTable" totalsRowShown="0">
  <autoFilter ref="A1:I32" xr:uid="{F009C709-7EA6-4C5A-B57C-041A7E773EF7}"/>
  <tableColumns count="9">
    <tableColumn id="1" xr3:uid="{2DB55D8B-3E7C-435B-A861-E61F7198DC68}" uniqueName="1" name="Column1" queryTableFieldId="1" dataDxfId="8"/>
    <tableColumn id="2" xr3:uid="{C6B32D14-7CFD-4357-B045-008443BC5270}" uniqueName="2" name="Column2" queryTableFieldId="2" dataDxfId="7"/>
    <tableColumn id="3" xr3:uid="{C979C132-E0CB-4288-A933-2D60BEB52F13}" uniqueName="3" name="Column3" queryTableFieldId="3" dataDxfId="6"/>
    <tableColumn id="4" xr3:uid="{E6E281D2-D783-4F20-94E2-B7CD513286F0}" uniqueName="4" name="Column4" queryTableFieldId="4" dataDxfId="5"/>
    <tableColumn id="5" xr3:uid="{B2BE118E-3B35-4693-9B7E-18D18ADFE8B2}" uniqueName="5" name="Column5" queryTableFieldId="5" dataDxfId="4"/>
    <tableColumn id="6" xr3:uid="{075DF459-ED37-4E4C-8D4D-92255386D65D}" uniqueName="6" name="Column6" queryTableFieldId="6" dataDxfId="3"/>
    <tableColumn id="7" xr3:uid="{82FAED94-91D1-40DC-8491-CF0B3C4AB50D}" uniqueName="7" name="Column7" queryTableFieldId="7" dataDxfId="2"/>
    <tableColumn id="8" xr3:uid="{B814CAD2-05BD-4D64-BCC5-2FA5A9F68B8B}" uniqueName="8" name="Column8" queryTableFieldId="8" dataDxfId="1"/>
    <tableColumn id="9" xr3:uid="{7A85FF2B-9DEB-4D2F-A5D2-6D5ABC68873C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4F81-4806-4133-91B6-657323399DA4}">
  <dimension ref="A1:I32"/>
  <sheetViews>
    <sheetView workbookViewId="0">
      <selection activeCell="I2" sqref="I2:I32"/>
    </sheetView>
  </sheetViews>
  <sheetFormatPr defaultRowHeight="15" x14ac:dyDescent="0.25"/>
  <cols>
    <col min="1" max="1" width="14.85546875" bestFit="1" customWidth="1"/>
    <col min="2" max="3" width="18.85546875" bestFit="1" customWidth="1"/>
    <col min="4" max="5" width="19.85546875" bestFit="1" customWidth="1"/>
    <col min="6" max="6" width="18.85546875" bestFit="1" customWidth="1"/>
    <col min="7" max="7" width="22" bestFit="1" customWidth="1"/>
    <col min="8" max="8" width="19.85546875" bestFit="1" customWidth="1"/>
    <col min="9" max="9" width="18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8">
        <v>100</v>
      </c>
      <c r="C3" s="8">
        <v>0</v>
      </c>
      <c r="D3" s="8">
        <v>0</v>
      </c>
      <c r="E3" s="8">
        <v>0</v>
      </c>
      <c r="F3" s="8">
        <v>0</v>
      </c>
      <c r="G3" s="8">
        <v>2.8003641560362699E-3</v>
      </c>
      <c r="H3" s="8">
        <v>0.60969015020750394</v>
      </c>
      <c r="I3" s="7">
        <v>0.61249051436353996</v>
      </c>
    </row>
    <row r="4" spans="1:9" x14ac:dyDescent="0.25">
      <c r="A4" s="1" t="s">
        <v>19</v>
      </c>
      <c r="B4" s="9">
        <v>54.450781056285599</v>
      </c>
      <c r="C4" s="9">
        <v>36.4740887676667</v>
      </c>
      <c r="D4" s="9">
        <v>9.0751301760475993</v>
      </c>
      <c r="E4" s="9">
        <v>5.3558145301264499</v>
      </c>
      <c r="F4" s="9">
        <v>1.38854450781056</v>
      </c>
      <c r="G4" s="9">
        <v>2.04297385293536</v>
      </c>
      <c r="H4" s="9">
        <v>6.6763766152198301</v>
      </c>
      <c r="I4" s="6">
        <v>8.7193504681551897</v>
      </c>
    </row>
    <row r="5" spans="1:9" x14ac:dyDescent="0.25">
      <c r="A5" s="1" t="s">
        <v>20</v>
      </c>
      <c r="B5" s="8">
        <v>86.387304735928595</v>
      </c>
      <c r="C5" s="8">
        <v>13.6126952640714</v>
      </c>
      <c r="D5" s="8">
        <v>0</v>
      </c>
      <c r="E5" s="8">
        <v>0.148772625836846</v>
      </c>
      <c r="F5" s="8">
        <v>0</v>
      </c>
      <c r="G5" s="8">
        <v>5.0808954210244998E-2</v>
      </c>
      <c r="H5" s="8">
        <v>3.08957781736013</v>
      </c>
      <c r="I5" s="7">
        <v>3.1403867715703702</v>
      </c>
    </row>
    <row r="6" spans="1:9" x14ac:dyDescent="0.25">
      <c r="A6" s="1" t="s">
        <v>21</v>
      </c>
      <c r="B6" s="9">
        <v>79.742127448549397</v>
      </c>
      <c r="C6" s="9">
        <v>19.761963798661</v>
      </c>
      <c r="D6" s="9">
        <v>0.49590875278948598</v>
      </c>
      <c r="E6" s="9">
        <v>0.44631787751053797</v>
      </c>
      <c r="F6" s="9">
        <v>0</v>
      </c>
      <c r="G6" s="9">
        <v>0.29458086661014299</v>
      </c>
      <c r="H6" s="9">
        <v>3.8426015356036198</v>
      </c>
      <c r="I6" s="6">
        <v>4.1371824022137602</v>
      </c>
    </row>
    <row r="7" spans="1:9" x14ac:dyDescent="0.25">
      <c r="A7" s="1" t="s">
        <v>22</v>
      </c>
      <c r="B7" s="8">
        <v>71.162906025291306</v>
      </c>
      <c r="C7" s="8">
        <v>28.365980659558598</v>
      </c>
      <c r="D7" s="8">
        <v>0.47111331515001198</v>
      </c>
      <c r="E7" s="8">
        <v>8.0089263575502105</v>
      </c>
      <c r="F7" s="8">
        <v>0</v>
      </c>
      <c r="G7" s="8">
        <v>0.41531320492597801</v>
      </c>
      <c r="H7" s="8">
        <v>5.8693833791609702</v>
      </c>
      <c r="I7" s="7">
        <v>6.2846965840869498</v>
      </c>
    </row>
    <row r="8" spans="1:9" x14ac:dyDescent="0.25">
      <c r="A8" s="1" t="s">
        <v>23</v>
      </c>
      <c r="B8" s="9">
        <v>93.181254649144506</v>
      </c>
      <c r="C8" s="9">
        <v>6.8187453508554396</v>
      </c>
      <c r="D8" s="9">
        <v>0</v>
      </c>
      <c r="E8" s="9">
        <v>0</v>
      </c>
      <c r="F8" s="9">
        <v>0</v>
      </c>
      <c r="G8" s="9">
        <v>6.1952283500018697E-2</v>
      </c>
      <c r="H8" s="9">
        <v>1.8366463007496101</v>
      </c>
      <c r="I8" s="6">
        <v>1.89859858424962</v>
      </c>
    </row>
    <row r="9" spans="1:9" x14ac:dyDescent="0.25">
      <c r="A9" s="1" t="s">
        <v>24</v>
      </c>
      <c r="B9" s="8">
        <v>58.666005454996203</v>
      </c>
      <c r="C9" s="8">
        <v>36.573270518224597</v>
      </c>
      <c r="D9" s="8">
        <v>4.7607240267790703</v>
      </c>
      <c r="E9" s="8">
        <v>15.2491941482767</v>
      </c>
      <c r="F9" s="8">
        <v>0.272749814034217</v>
      </c>
      <c r="G9" s="8">
        <v>1.3333185400049801</v>
      </c>
      <c r="H9" s="8">
        <v>8.5587216902173999</v>
      </c>
      <c r="I9" s="7">
        <v>9.8920402302223902</v>
      </c>
    </row>
    <row r="10" spans="1:9" x14ac:dyDescent="0.25">
      <c r="A10" s="1" t="s">
        <v>25</v>
      </c>
      <c r="B10" s="9">
        <v>64.815273989585904</v>
      </c>
      <c r="C10" s="9">
        <v>32.5564096206298</v>
      </c>
      <c r="D10" s="9">
        <v>2.6283163897842798</v>
      </c>
      <c r="E10" s="9">
        <v>10.4636746838581</v>
      </c>
      <c r="F10" s="9">
        <v>0.272749814034217</v>
      </c>
      <c r="G10" s="9">
        <v>1.0569528106855099</v>
      </c>
      <c r="H10" s="9">
        <v>6.9139777388873096</v>
      </c>
      <c r="I10" s="6">
        <v>7.97093054957283</v>
      </c>
    </row>
    <row r="11" spans="1:9" x14ac:dyDescent="0.25">
      <c r="A11" s="1" t="s">
        <v>26</v>
      </c>
      <c r="B11" s="8">
        <v>83.163897842796899</v>
      </c>
      <c r="C11" s="8">
        <v>16.836102157203001</v>
      </c>
      <c r="D11" s="8">
        <v>0</v>
      </c>
      <c r="E11" s="8">
        <v>0</v>
      </c>
      <c r="F11" s="8">
        <v>0</v>
      </c>
      <c r="G11" s="8">
        <v>0.12024108192492999</v>
      </c>
      <c r="H11" s="8">
        <v>3.2492911197710401</v>
      </c>
      <c r="I11" s="7">
        <v>3.3695322016959701</v>
      </c>
    </row>
    <row r="12" spans="1:9" x14ac:dyDescent="0.25">
      <c r="A12" s="1" t="s">
        <v>27</v>
      </c>
      <c r="B12" s="9">
        <v>95.611207537813002</v>
      </c>
      <c r="C12" s="9">
        <v>3.9176791470369401</v>
      </c>
      <c r="D12" s="9">
        <v>0.47111331515001198</v>
      </c>
      <c r="E12" s="9">
        <v>0</v>
      </c>
      <c r="F12" s="9">
        <v>0</v>
      </c>
      <c r="G12" s="9">
        <v>0.15340133873013401</v>
      </c>
      <c r="H12" s="9">
        <v>2.0133273443316799</v>
      </c>
      <c r="I12" s="6">
        <v>2.16672868306182</v>
      </c>
    </row>
    <row r="13" spans="1:9" x14ac:dyDescent="0.25">
      <c r="A13" s="1" t="s">
        <v>28</v>
      </c>
      <c r="B13" s="8">
        <v>90.0570295065708</v>
      </c>
      <c r="C13" s="8">
        <v>9.9429704934292094</v>
      </c>
      <c r="D13" s="8">
        <v>0</v>
      </c>
      <c r="E13" s="8">
        <v>0</v>
      </c>
      <c r="F13" s="8">
        <v>0</v>
      </c>
      <c r="G13" s="8">
        <v>0.33646611814185801</v>
      </c>
      <c r="H13" s="8">
        <v>2.6635890004754299</v>
      </c>
      <c r="I13" s="7">
        <v>3.0000551186172899</v>
      </c>
    </row>
    <row r="14" spans="1:9" x14ac:dyDescent="0.25">
      <c r="A14" s="1" t="s">
        <v>29</v>
      </c>
      <c r="B14" s="9">
        <v>99.2065459955368</v>
      </c>
      <c r="C14" s="9">
        <v>0.79345400446317804</v>
      </c>
      <c r="D14" s="9">
        <v>0</v>
      </c>
      <c r="E14" s="9">
        <v>0</v>
      </c>
      <c r="F14" s="9">
        <v>0</v>
      </c>
      <c r="G14" s="9">
        <v>0.16164396799814801</v>
      </c>
      <c r="H14" s="9">
        <v>1.1360997785914499</v>
      </c>
      <c r="I14" s="6">
        <v>1.2977437465896</v>
      </c>
    </row>
    <row r="15" spans="1:9" x14ac:dyDescent="0.25">
      <c r="A15" s="1" t="s">
        <v>30</v>
      </c>
      <c r="B15" s="8">
        <v>96.479047855194594</v>
      </c>
      <c r="C15" s="8">
        <v>3.5209521448053498</v>
      </c>
      <c r="D15" s="8">
        <v>0</v>
      </c>
      <c r="E15" s="8">
        <v>0</v>
      </c>
      <c r="F15" s="8">
        <v>0</v>
      </c>
      <c r="G15" s="8">
        <v>7.0430275442509398E-3</v>
      </c>
      <c r="H15" s="8">
        <v>1.8367826073059801</v>
      </c>
      <c r="I15" s="7">
        <v>1.84382563485023</v>
      </c>
    </row>
    <row r="16" spans="1:9" x14ac:dyDescent="0.25">
      <c r="A16" s="1" t="s">
        <v>31</v>
      </c>
      <c r="B16" s="9">
        <v>87.279940490949599</v>
      </c>
      <c r="C16" s="9">
        <v>12.7200595090503</v>
      </c>
      <c r="D16" s="9">
        <v>0</v>
      </c>
      <c r="E16" s="9">
        <v>0.52070419042896099</v>
      </c>
      <c r="F16" s="9">
        <v>0</v>
      </c>
      <c r="G16" s="9">
        <v>1.8012380293592301E-2</v>
      </c>
      <c r="H16" s="9">
        <v>2.5899002603622199</v>
      </c>
      <c r="I16" s="6">
        <v>2.60791264065581</v>
      </c>
    </row>
    <row r="17" spans="1:9" x14ac:dyDescent="0.25">
      <c r="A17" s="1" t="s">
        <v>32</v>
      </c>
      <c r="B17" s="8">
        <v>95.487230349615601</v>
      </c>
      <c r="C17" s="8">
        <v>4.51276965038433</v>
      </c>
      <c r="D17" s="8">
        <v>0</v>
      </c>
      <c r="E17" s="8">
        <v>0</v>
      </c>
      <c r="F17" s="8">
        <v>0</v>
      </c>
      <c r="G17" s="8">
        <v>7.4164906010713696E-2</v>
      </c>
      <c r="H17" s="8">
        <v>1.8229374906556299</v>
      </c>
      <c r="I17" s="7">
        <v>1.8971023966663401</v>
      </c>
    </row>
    <row r="18" spans="1:9" x14ac:dyDescent="0.25">
      <c r="A18" s="1" t="s">
        <v>33</v>
      </c>
      <c r="B18" s="9">
        <v>91.321596826183907</v>
      </c>
      <c r="C18" s="9">
        <v>8.6784031738160099</v>
      </c>
      <c r="D18" s="9">
        <v>0</v>
      </c>
      <c r="E18" s="9">
        <v>0</v>
      </c>
      <c r="F18" s="9">
        <v>0</v>
      </c>
      <c r="G18" s="9">
        <v>5.9370314604841198E-2</v>
      </c>
      <c r="H18" s="9">
        <v>2.6660675215735399</v>
      </c>
      <c r="I18" s="6">
        <v>2.7254378361783802</v>
      </c>
    </row>
    <row r="19" spans="1:9" x14ac:dyDescent="0.25">
      <c r="A19" s="1" t="s">
        <v>34</v>
      </c>
      <c r="B19" s="8">
        <v>98.388296553434103</v>
      </c>
      <c r="C19" s="8">
        <v>1.61170344656583</v>
      </c>
      <c r="D19" s="8">
        <v>0</v>
      </c>
      <c r="E19" s="8">
        <v>0</v>
      </c>
      <c r="F19" s="8">
        <v>0</v>
      </c>
      <c r="G19" s="8">
        <v>4.0613130148360099E-2</v>
      </c>
      <c r="H19" s="8">
        <v>1.64553324715076</v>
      </c>
      <c r="I19" s="7">
        <v>1.6861463772991201</v>
      </c>
    </row>
    <row r="20" spans="1:9" x14ac:dyDescent="0.25">
      <c r="A20" s="1" t="s">
        <v>35</v>
      </c>
      <c r="B20" s="9">
        <v>98.760228118026205</v>
      </c>
      <c r="C20" s="9">
        <v>1.23977188197371</v>
      </c>
      <c r="D20" s="9">
        <v>0</v>
      </c>
      <c r="E20" s="9">
        <v>0</v>
      </c>
      <c r="F20" s="9">
        <v>0</v>
      </c>
      <c r="G20" s="9">
        <v>3.7064771651983103E-2</v>
      </c>
      <c r="H20" s="9">
        <v>1.08074462627808</v>
      </c>
      <c r="I20" s="6">
        <v>1.1178093979300601</v>
      </c>
    </row>
    <row r="21" spans="1:9" x14ac:dyDescent="0.25">
      <c r="A21" s="1" t="s">
        <v>36</v>
      </c>
      <c r="B21" s="8">
        <v>65.906273245722701</v>
      </c>
      <c r="C21" s="8">
        <v>18.993305231837301</v>
      </c>
      <c r="D21" s="8">
        <v>15.100421522439801</v>
      </c>
      <c r="E21" s="8">
        <v>1.14059013141581</v>
      </c>
      <c r="F21" s="8">
        <v>1.8844532606000399</v>
      </c>
      <c r="G21" s="8">
        <v>2.7125382367087001</v>
      </c>
      <c r="H21" s="8">
        <v>3.6847941341072898</v>
      </c>
      <c r="I21" s="7">
        <v>6.3973323708159899</v>
      </c>
    </row>
    <row r="22" spans="1:9" x14ac:dyDescent="0.25">
      <c r="A22" s="1" t="s">
        <v>37</v>
      </c>
      <c r="B22" s="9">
        <v>85.767418794941705</v>
      </c>
      <c r="C22" s="9">
        <v>14.232581205058199</v>
      </c>
      <c r="D22" s="9">
        <v>0</v>
      </c>
      <c r="E22" s="9">
        <v>0</v>
      </c>
      <c r="F22" s="9">
        <v>0</v>
      </c>
      <c r="G22" s="9">
        <v>0.23483401784681801</v>
      </c>
      <c r="H22" s="9">
        <v>3.22303486789535</v>
      </c>
      <c r="I22" s="6">
        <v>3.4578688857421702</v>
      </c>
    </row>
    <row r="23" spans="1:9" x14ac:dyDescent="0.25">
      <c r="A23" s="1" t="s">
        <v>38</v>
      </c>
      <c r="B23" s="8">
        <v>74.386312918423002</v>
      </c>
      <c r="C23" s="8">
        <v>15.397966774113501</v>
      </c>
      <c r="D23" s="8">
        <v>10.2157203074634</v>
      </c>
      <c r="E23" s="8">
        <v>5.8517232829159402</v>
      </c>
      <c r="F23" s="8">
        <v>0.79345400446317804</v>
      </c>
      <c r="G23" s="8">
        <v>2.3719195202763501</v>
      </c>
      <c r="H23" s="8">
        <v>4.0021659640632103</v>
      </c>
      <c r="I23" s="7">
        <v>6.3740854843395702</v>
      </c>
    </row>
    <row r="24" spans="1:9" x14ac:dyDescent="0.25">
      <c r="A24" s="1" t="s">
        <v>39</v>
      </c>
      <c r="B24" s="9">
        <v>85.395487230349602</v>
      </c>
      <c r="C24" s="9">
        <v>13.3151500123977</v>
      </c>
      <c r="D24" s="9">
        <v>1.28936275725266</v>
      </c>
      <c r="E24" s="9">
        <v>0</v>
      </c>
      <c r="F24" s="9">
        <v>0.19836350111579401</v>
      </c>
      <c r="G24" s="9">
        <v>0.701063800863443</v>
      </c>
      <c r="H24" s="9">
        <v>2.9405102905958902</v>
      </c>
      <c r="I24" s="6">
        <v>3.64157409145934</v>
      </c>
    </row>
    <row r="25" spans="1:9" x14ac:dyDescent="0.25">
      <c r="A25" s="1" t="s">
        <v>40</v>
      </c>
      <c r="B25" s="8">
        <v>59.236300520704098</v>
      </c>
      <c r="C25" s="8">
        <v>22.8118026283163</v>
      </c>
      <c r="D25" s="8">
        <v>17.951896850979399</v>
      </c>
      <c r="E25" s="8">
        <v>10.240515745102901</v>
      </c>
      <c r="F25" s="8">
        <v>4.51276965038433</v>
      </c>
      <c r="G25" s="8">
        <v>4.2969281594806503</v>
      </c>
      <c r="H25" s="8">
        <v>6.0041109369779004</v>
      </c>
      <c r="I25" s="7">
        <v>10.301039096458499</v>
      </c>
    </row>
    <row r="26" spans="1:9" x14ac:dyDescent="0.25">
      <c r="A26" s="1" t="s">
        <v>41</v>
      </c>
      <c r="B26" s="9">
        <v>89.337961815026006</v>
      </c>
      <c r="C26" s="9">
        <v>5.4549962806843499</v>
      </c>
      <c r="D26" s="9">
        <v>5.2070419042896097</v>
      </c>
      <c r="E26" s="9">
        <v>0.49590875278948598</v>
      </c>
      <c r="F26" s="9">
        <v>0.81824944210265305</v>
      </c>
      <c r="G26" s="9">
        <v>1.79158220821884</v>
      </c>
      <c r="H26" s="9">
        <v>1.4607876226727099</v>
      </c>
      <c r="I26" s="6">
        <v>3.2523698308915598</v>
      </c>
    </row>
    <row r="27" spans="1:9" x14ac:dyDescent="0.25">
      <c r="A27" s="1" t="s">
        <v>42</v>
      </c>
      <c r="B27" s="8">
        <v>86.114554921894296</v>
      </c>
      <c r="C27" s="8">
        <v>1.51252169600793</v>
      </c>
      <c r="D27" s="8">
        <v>12.3729233820976</v>
      </c>
      <c r="E27" s="8">
        <v>0</v>
      </c>
      <c r="F27" s="8">
        <v>2.4299528886684798</v>
      </c>
      <c r="G27" s="8">
        <v>3.0554331086898001</v>
      </c>
      <c r="H27" s="8">
        <v>0.61985423167702103</v>
      </c>
      <c r="I27" s="7">
        <v>3.67528734036682</v>
      </c>
    </row>
    <row r="28" spans="1:9" x14ac:dyDescent="0.25">
      <c r="A28" s="1" t="s">
        <v>43</v>
      </c>
      <c r="B28" s="9">
        <v>76.221175303744104</v>
      </c>
      <c r="C28" s="9">
        <v>19.414827671708402</v>
      </c>
      <c r="D28" s="9">
        <v>4.36399702454748</v>
      </c>
      <c r="E28" s="9">
        <v>6.5459955368212199</v>
      </c>
      <c r="F28" s="9">
        <v>0.76865856682370404</v>
      </c>
      <c r="G28" s="9">
        <v>1.3361925746460701</v>
      </c>
      <c r="H28" s="9">
        <v>4.5700040727845703</v>
      </c>
      <c r="I28" s="6">
        <v>5.9061966474306402</v>
      </c>
    </row>
    <row r="29" spans="1:9" x14ac:dyDescent="0.25">
      <c r="A29" s="1" t="s">
        <v>44</v>
      </c>
      <c r="B29" s="8">
        <v>96.875774857426194</v>
      </c>
      <c r="C29" s="8">
        <v>0.47111331515001198</v>
      </c>
      <c r="D29" s="8">
        <v>2.65311182742375</v>
      </c>
      <c r="E29" s="8">
        <v>0</v>
      </c>
      <c r="F29" s="8">
        <v>0</v>
      </c>
      <c r="G29" s="8">
        <v>1.33685418963346</v>
      </c>
      <c r="H29" s="8">
        <v>0.48517440989831101</v>
      </c>
      <c r="I29" s="7">
        <v>1.82202859953177</v>
      </c>
    </row>
    <row r="30" spans="1:9" x14ac:dyDescent="0.25">
      <c r="A30" s="1" t="s">
        <v>45</v>
      </c>
      <c r="B30" s="9">
        <v>13.1167865112819</v>
      </c>
      <c r="C30" s="9">
        <v>15.2491941482767</v>
      </c>
      <c r="D30" s="9">
        <v>71.634019340441299</v>
      </c>
      <c r="E30" s="9">
        <v>11.6538556905529</v>
      </c>
      <c r="F30" s="9">
        <v>69.600793454004403</v>
      </c>
      <c r="G30" s="9">
        <v>21.826646366478801</v>
      </c>
      <c r="H30" s="9">
        <v>15.0734286682889</v>
      </c>
      <c r="I30" s="6">
        <v>36.900075034767802</v>
      </c>
    </row>
    <row r="31" spans="1:9" x14ac:dyDescent="0.25">
      <c r="A31" s="1" t="s">
        <v>46</v>
      </c>
      <c r="B31" s="8">
        <v>89.561120753781296</v>
      </c>
      <c r="C31" s="8">
        <v>10.438879246218599</v>
      </c>
      <c r="D31" s="8">
        <v>0</v>
      </c>
      <c r="E31" s="8">
        <v>0.79345400446317804</v>
      </c>
      <c r="F31" s="8">
        <v>0</v>
      </c>
      <c r="G31" s="8">
        <v>0.41774017565169203</v>
      </c>
      <c r="H31" s="8">
        <v>1.9392142763004201</v>
      </c>
      <c r="I31" s="7">
        <v>2.35695445195211</v>
      </c>
    </row>
    <row r="32" spans="1:9" x14ac:dyDescent="0.25">
      <c r="A32" s="1" t="s">
        <v>47</v>
      </c>
      <c r="B32" s="9">
        <v>62.5340937267542</v>
      </c>
      <c r="C32" s="9">
        <v>25.638482519216399</v>
      </c>
      <c r="D32" s="9">
        <v>11.8274237540292</v>
      </c>
      <c r="E32" s="9">
        <v>14.976444334242499</v>
      </c>
      <c r="F32" s="9">
        <v>4.0416563352343102</v>
      </c>
      <c r="G32" s="9">
        <v>2.9163149511606998</v>
      </c>
      <c r="H32" s="9">
        <v>7.7704427745577203</v>
      </c>
      <c r="I32" s="6">
        <v>10.686757725718399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B05C-C1FB-4213-99E6-5E616B7D8FDD}">
  <dimension ref="A1:J34"/>
  <sheetViews>
    <sheetView workbookViewId="0">
      <selection activeCell="I2" sqref="I2:I32"/>
    </sheetView>
  </sheetViews>
  <sheetFormatPr defaultRowHeight="15" x14ac:dyDescent="0.25"/>
  <cols>
    <col min="1" max="1" width="14.85546875" bestFit="1" customWidth="1"/>
    <col min="2" max="3" width="18.85546875" bestFit="1" customWidth="1"/>
    <col min="4" max="6" width="19.85546875" bestFit="1" customWidth="1"/>
    <col min="7" max="7" width="22" bestFit="1" customWidth="1"/>
    <col min="8" max="8" width="19.85546875" bestFit="1" customWidth="1"/>
    <col min="9" max="9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10" x14ac:dyDescent="0.25">
      <c r="A3" s="1" t="s">
        <v>18</v>
      </c>
      <c r="B3" s="8">
        <v>100</v>
      </c>
      <c r="C3" s="8">
        <v>0</v>
      </c>
      <c r="D3" s="8">
        <v>0</v>
      </c>
      <c r="E3" s="8">
        <v>0</v>
      </c>
      <c r="F3" s="8">
        <v>0</v>
      </c>
      <c r="G3" s="8">
        <v>6.8273633730936102E-3</v>
      </c>
      <c r="H3" s="8">
        <v>0.48457981865272498</v>
      </c>
      <c r="I3" s="7">
        <v>0.49140718202581901</v>
      </c>
      <c r="J3" s="5"/>
    </row>
    <row r="4" spans="1:10" x14ac:dyDescent="0.25">
      <c r="A4" s="1" t="s">
        <v>19</v>
      </c>
      <c r="B4" s="9">
        <v>53.483758988346104</v>
      </c>
      <c r="C4" s="9">
        <v>35.0855442598561</v>
      </c>
      <c r="D4" s="9">
        <v>11.430696751797599</v>
      </c>
      <c r="E4" s="9">
        <v>4.7855194644185399</v>
      </c>
      <c r="F4" s="9">
        <v>2.5539300768658499</v>
      </c>
      <c r="G4" s="9">
        <v>2.5082499983756699</v>
      </c>
      <c r="H4" s="9">
        <v>6.4637628997217096</v>
      </c>
      <c r="I4" s="6">
        <v>8.9720128980973897</v>
      </c>
      <c r="J4" s="5"/>
    </row>
    <row r="5" spans="1:10" x14ac:dyDescent="0.25">
      <c r="A5" s="1" t="s">
        <v>20</v>
      </c>
      <c r="B5" s="8">
        <v>88.122985370691794</v>
      </c>
      <c r="C5" s="8">
        <v>11.6538556905529</v>
      </c>
      <c r="D5" s="8">
        <v>0.22315893875526899</v>
      </c>
      <c r="E5" s="8">
        <v>0</v>
      </c>
      <c r="F5" s="8">
        <v>0</v>
      </c>
      <c r="G5" s="8">
        <v>0.110080097345596</v>
      </c>
      <c r="H5" s="8">
        <v>2.7420634551888599</v>
      </c>
      <c r="I5" s="7">
        <v>2.8521435525344598</v>
      </c>
      <c r="J5" s="5"/>
    </row>
    <row r="6" spans="1:10" x14ac:dyDescent="0.25">
      <c r="A6" s="1" t="s">
        <v>21</v>
      </c>
      <c r="B6" s="9">
        <v>80.9075130176047</v>
      </c>
      <c r="C6" s="9">
        <v>18.497396479047801</v>
      </c>
      <c r="D6" s="9">
        <v>0.595090503347384</v>
      </c>
      <c r="E6" s="9">
        <v>0.24795437639474299</v>
      </c>
      <c r="F6" s="9">
        <v>0</v>
      </c>
      <c r="G6" s="9">
        <v>0.43317875836997199</v>
      </c>
      <c r="H6" s="9">
        <v>3.5935363017800301</v>
      </c>
      <c r="I6" s="6">
        <v>4.0267150601500097</v>
      </c>
      <c r="J6" s="5"/>
    </row>
    <row r="7" spans="1:10" x14ac:dyDescent="0.25">
      <c r="A7" s="1" t="s">
        <v>22</v>
      </c>
      <c r="B7" s="8">
        <v>71.435655839325506</v>
      </c>
      <c r="C7" s="8">
        <v>27.7212992809323</v>
      </c>
      <c r="D7" s="8">
        <v>0.84304487974212705</v>
      </c>
      <c r="E7" s="8">
        <v>7.4882221671212497</v>
      </c>
      <c r="F7" s="8">
        <v>0</v>
      </c>
      <c r="G7" s="8">
        <v>0.58723828148648605</v>
      </c>
      <c r="H7" s="8">
        <v>5.7547637469916797</v>
      </c>
      <c r="I7" s="7">
        <v>6.34200202847817</v>
      </c>
      <c r="J7" s="5"/>
    </row>
    <row r="8" spans="1:10" x14ac:dyDescent="0.25">
      <c r="A8" s="1" t="s">
        <v>23</v>
      </c>
      <c r="B8" s="9">
        <v>93.850731465410306</v>
      </c>
      <c r="C8" s="9">
        <v>6.1492685345896296</v>
      </c>
      <c r="D8" s="9">
        <v>0</v>
      </c>
      <c r="E8" s="9">
        <v>0</v>
      </c>
      <c r="F8" s="9">
        <v>0</v>
      </c>
      <c r="G8" s="9">
        <v>9.9585924540170401E-2</v>
      </c>
      <c r="H8" s="9">
        <v>1.7122650774489501</v>
      </c>
      <c r="I8" s="6">
        <v>1.8118510019891201</v>
      </c>
      <c r="J8" s="5"/>
    </row>
    <row r="9" spans="1:10" x14ac:dyDescent="0.25">
      <c r="A9" s="1" t="s">
        <v>24</v>
      </c>
      <c r="B9" s="8">
        <v>58.269278452764603</v>
      </c>
      <c r="C9" s="8">
        <v>35.779816513761403</v>
      </c>
      <c r="D9" s="8">
        <v>5.9509050334738403</v>
      </c>
      <c r="E9" s="8">
        <v>15.199603272997701</v>
      </c>
      <c r="F9" s="8">
        <v>0.570295065707909</v>
      </c>
      <c r="G9" s="8">
        <v>1.54151139197538</v>
      </c>
      <c r="H9" s="8">
        <v>8.4148392425616194</v>
      </c>
      <c r="I9" s="7">
        <v>9.9563506345369994</v>
      </c>
      <c r="J9" s="5"/>
    </row>
    <row r="10" spans="1:10" x14ac:dyDescent="0.25">
      <c r="A10" s="1" t="s">
        <v>25</v>
      </c>
      <c r="B10" s="9">
        <v>64.368956112075296</v>
      </c>
      <c r="C10" s="9">
        <v>31.812546491445499</v>
      </c>
      <c r="D10" s="9">
        <v>3.8184973964790401</v>
      </c>
      <c r="E10" s="9">
        <v>10.190924869823901</v>
      </c>
      <c r="F10" s="9">
        <v>0.39672700223158902</v>
      </c>
      <c r="G10" s="9">
        <v>1.25380897216011</v>
      </c>
      <c r="H10" s="9">
        <v>6.75296357374999</v>
      </c>
      <c r="I10" s="6">
        <v>8.0067725459101098</v>
      </c>
      <c r="J10" s="5"/>
    </row>
    <row r="11" spans="1:10" x14ac:dyDescent="0.25">
      <c r="A11" s="1" t="s">
        <v>26</v>
      </c>
      <c r="B11" s="8">
        <v>85.420282667988999</v>
      </c>
      <c r="C11" s="8">
        <v>14.579717332010899</v>
      </c>
      <c r="D11" s="8">
        <v>0</v>
      </c>
      <c r="E11" s="8">
        <v>0</v>
      </c>
      <c r="F11" s="8">
        <v>0</v>
      </c>
      <c r="G11" s="8">
        <v>0.18402523578393401</v>
      </c>
      <c r="H11" s="8">
        <v>3.00778224039284</v>
      </c>
      <c r="I11" s="7">
        <v>3.1918074761767801</v>
      </c>
      <c r="J11" s="5"/>
    </row>
    <row r="12" spans="1:10" x14ac:dyDescent="0.25">
      <c r="A12" s="1" t="s">
        <v>27</v>
      </c>
      <c r="B12" s="9">
        <v>95.437639474336706</v>
      </c>
      <c r="C12" s="9">
        <v>3.9672700223158901</v>
      </c>
      <c r="D12" s="9">
        <v>0.595090503347384</v>
      </c>
      <c r="E12" s="9">
        <v>0</v>
      </c>
      <c r="F12" s="9">
        <v>0</v>
      </c>
      <c r="G12" s="9">
        <v>0.25589064727805999</v>
      </c>
      <c r="H12" s="9">
        <v>1.9045829000495</v>
      </c>
      <c r="I12" s="6">
        <v>2.1604735473275598</v>
      </c>
      <c r="J12" s="5"/>
    </row>
    <row r="13" spans="1:10" x14ac:dyDescent="0.25">
      <c r="A13" s="1" t="s">
        <v>28</v>
      </c>
      <c r="B13" s="8">
        <v>91.296801388544495</v>
      </c>
      <c r="C13" s="8">
        <v>8.7031986114554893</v>
      </c>
      <c r="D13" s="8">
        <v>0</v>
      </c>
      <c r="E13" s="8">
        <v>0</v>
      </c>
      <c r="F13" s="8">
        <v>0</v>
      </c>
      <c r="G13" s="8">
        <v>0.446411684360773</v>
      </c>
      <c r="H13" s="8">
        <v>2.4401680358579001</v>
      </c>
      <c r="I13" s="7">
        <v>2.88657972021868</v>
      </c>
      <c r="J13" s="5"/>
    </row>
    <row r="14" spans="1:10" x14ac:dyDescent="0.25">
      <c r="A14" s="1" t="s">
        <v>29</v>
      </c>
      <c r="B14" s="9">
        <v>99.454500371931502</v>
      </c>
      <c r="C14" s="9">
        <v>0.54549962806843499</v>
      </c>
      <c r="D14" s="9">
        <v>0</v>
      </c>
      <c r="E14" s="9">
        <v>0</v>
      </c>
      <c r="F14" s="9">
        <v>0</v>
      </c>
      <c r="G14" s="9">
        <v>0.22970565040302601</v>
      </c>
      <c r="H14" s="9">
        <v>1.0261985871824899</v>
      </c>
      <c r="I14" s="6">
        <v>1.2559042375855101</v>
      </c>
      <c r="J14" s="5"/>
    </row>
    <row r="15" spans="1:10" x14ac:dyDescent="0.25">
      <c r="A15" s="1" t="s">
        <v>30</v>
      </c>
      <c r="B15" s="8">
        <v>97.074138358542001</v>
      </c>
      <c r="C15" s="8">
        <v>2.9258616414579701</v>
      </c>
      <c r="D15" s="8">
        <v>0</v>
      </c>
      <c r="E15" s="8">
        <v>0</v>
      </c>
      <c r="F15" s="8">
        <v>0</v>
      </c>
      <c r="G15" s="8">
        <v>1.87868828567079E-2</v>
      </c>
      <c r="H15" s="8">
        <v>1.63085994707727</v>
      </c>
      <c r="I15" s="7">
        <v>1.6496468299339799</v>
      </c>
      <c r="J15" s="5"/>
    </row>
    <row r="16" spans="1:10" x14ac:dyDescent="0.25">
      <c r="A16" s="1" t="s">
        <v>31</v>
      </c>
      <c r="B16" s="9">
        <v>89.288370939746997</v>
      </c>
      <c r="C16" s="9">
        <v>10.7116290602529</v>
      </c>
      <c r="D16" s="9">
        <v>0</v>
      </c>
      <c r="E16" s="9">
        <v>0.32234068931316601</v>
      </c>
      <c r="F16" s="9">
        <v>0</v>
      </c>
      <c r="G16" s="9">
        <v>4.6700127582755199E-2</v>
      </c>
      <c r="H16" s="9">
        <v>2.12700491002628</v>
      </c>
      <c r="I16" s="6">
        <v>2.1737050376090399</v>
      </c>
      <c r="J16" s="5"/>
    </row>
    <row r="17" spans="1:10" x14ac:dyDescent="0.25">
      <c r="A17" s="1" t="s">
        <v>32</v>
      </c>
      <c r="B17" s="8">
        <v>95.958343664765593</v>
      </c>
      <c r="C17" s="8">
        <v>4.0416563352343102</v>
      </c>
      <c r="D17" s="8">
        <v>0</v>
      </c>
      <c r="E17" s="8">
        <v>0</v>
      </c>
      <c r="F17" s="8">
        <v>0</v>
      </c>
      <c r="G17" s="8">
        <v>0.11030969185888601</v>
      </c>
      <c r="H17" s="8">
        <v>1.6644963559671</v>
      </c>
      <c r="I17" s="7">
        <v>1.7748060478259899</v>
      </c>
      <c r="J17" s="5"/>
    </row>
    <row r="18" spans="1:10" x14ac:dyDescent="0.25">
      <c r="A18" s="1" t="s">
        <v>33</v>
      </c>
      <c r="B18" s="9">
        <v>91.9166873295313</v>
      </c>
      <c r="C18" s="9">
        <v>7.83535829407389</v>
      </c>
      <c r="D18" s="9">
        <v>0.24795437639474299</v>
      </c>
      <c r="E18" s="9">
        <v>0</v>
      </c>
      <c r="F18" s="9">
        <v>0</v>
      </c>
      <c r="G18" s="9">
        <v>0.12115989272194901</v>
      </c>
      <c r="H18" s="9">
        <v>2.4311389303683399</v>
      </c>
      <c r="I18" s="6">
        <v>2.5522988230902901</v>
      </c>
      <c r="J18" s="5"/>
    </row>
    <row r="19" spans="1:10" x14ac:dyDescent="0.25">
      <c r="A19" s="1" t="s">
        <v>34</v>
      </c>
      <c r="B19" s="8">
        <v>99.107364244978896</v>
      </c>
      <c r="C19" s="8">
        <v>0.89263575502107595</v>
      </c>
      <c r="D19" s="8">
        <v>0</v>
      </c>
      <c r="E19" s="8">
        <v>0</v>
      </c>
      <c r="F19" s="8">
        <v>0</v>
      </c>
      <c r="G19" s="8">
        <v>6.8017822736543707E-2</v>
      </c>
      <c r="H19" s="8">
        <v>1.27168671830973</v>
      </c>
      <c r="I19" s="7">
        <v>1.33970454104628</v>
      </c>
      <c r="J19" s="5"/>
    </row>
    <row r="20" spans="1:10" x14ac:dyDescent="0.25">
      <c r="A20" s="1" t="s">
        <v>35</v>
      </c>
      <c r="B20" s="9">
        <v>99.008182494421007</v>
      </c>
      <c r="C20" s="9">
        <v>0.99181750557897297</v>
      </c>
      <c r="D20" s="9">
        <v>0</v>
      </c>
      <c r="E20" s="9">
        <v>0</v>
      </c>
      <c r="F20" s="9">
        <v>0</v>
      </c>
      <c r="G20" s="9">
        <v>6.6175958841284993E-2</v>
      </c>
      <c r="H20" s="9">
        <v>0.91781114919208595</v>
      </c>
      <c r="I20" s="6">
        <v>0.98398710803337097</v>
      </c>
      <c r="J20" s="5"/>
    </row>
    <row r="21" spans="1:10" x14ac:dyDescent="0.25">
      <c r="A21" s="1" t="s">
        <v>36</v>
      </c>
      <c r="B21" s="8">
        <v>65.608727994049104</v>
      </c>
      <c r="C21" s="8">
        <v>17.579965286387299</v>
      </c>
      <c r="D21" s="8">
        <v>16.8113067195636</v>
      </c>
      <c r="E21" s="8">
        <v>0.96702206793949896</v>
      </c>
      <c r="F21" s="8">
        <v>3.4713612695263998</v>
      </c>
      <c r="G21" s="8">
        <v>3.2246028547923098</v>
      </c>
      <c r="H21" s="8">
        <v>3.53185935669927</v>
      </c>
      <c r="I21" s="7">
        <v>6.7564622114915798</v>
      </c>
      <c r="J21" s="5"/>
    </row>
    <row r="22" spans="1:10" x14ac:dyDescent="0.25">
      <c r="A22" s="1" t="s">
        <v>37</v>
      </c>
      <c r="B22" s="9">
        <v>86.114554921894296</v>
      </c>
      <c r="C22" s="9">
        <v>13.885445078105599</v>
      </c>
      <c r="D22" s="9">
        <v>0</v>
      </c>
      <c r="E22" s="9">
        <v>0</v>
      </c>
      <c r="F22" s="9">
        <v>0</v>
      </c>
      <c r="G22" s="9">
        <v>0.31876138318431102</v>
      </c>
      <c r="H22" s="9">
        <v>3.0728041267007198</v>
      </c>
      <c r="I22" s="6">
        <v>3.3915655098850301</v>
      </c>
      <c r="J22" s="5"/>
    </row>
    <row r="23" spans="1:10" x14ac:dyDescent="0.25">
      <c r="A23" s="1" t="s">
        <v>38</v>
      </c>
      <c r="B23" s="8">
        <v>70.245474832630705</v>
      </c>
      <c r="C23" s="8">
        <v>15.596330275229301</v>
      </c>
      <c r="D23" s="8">
        <v>14.1581948921398</v>
      </c>
      <c r="E23" s="8">
        <v>5.9013141581948902</v>
      </c>
      <c r="F23" s="8">
        <v>1.5869080089263501</v>
      </c>
      <c r="G23" s="8">
        <v>3.09714775167043</v>
      </c>
      <c r="H23" s="8">
        <v>4.2098286610007198</v>
      </c>
      <c r="I23" s="7">
        <v>7.3069764126711503</v>
      </c>
      <c r="J23" s="5"/>
    </row>
    <row r="24" spans="1:10" x14ac:dyDescent="0.25">
      <c r="A24" s="1" t="s">
        <v>39</v>
      </c>
      <c r="B24" s="9">
        <v>85.519464418546903</v>
      </c>
      <c r="C24" s="9">
        <v>12.8192412596082</v>
      </c>
      <c r="D24" s="9">
        <v>1.66129432184478</v>
      </c>
      <c r="E24" s="9">
        <v>0</v>
      </c>
      <c r="F24" s="9">
        <v>0.42152243987106303</v>
      </c>
      <c r="G24" s="9">
        <v>0.96014395132416197</v>
      </c>
      <c r="H24" s="9">
        <v>2.8074789546216001</v>
      </c>
      <c r="I24" s="6">
        <v>3.7676229059457702</v>
      </c>
      <c r="J24" s="5"/>
    </row>
    <row r="25" spans="1:10" x14ac:dyDescent="0.25">
      <c r="A25" s="1" t="s">
        <v>40</v>
      </c>
      <c r="B25" s="8">
        <v>57.1038928837093</v>
      </c>
      <c r="C25" s="8">
        <v>21.646417059261001</v>
      </c>
      <c r="D25" s="8">
        <v>21.2496900570295</v>
      </c>
      <c r="E25" s="8">
        <v>10.1661294321844</v>
      </c>
      <c r="F25" s="8">
        <v>6.2732457227870002</v>
      </c>
      <c r="G25" s="8">
        <v>5.2913168690001502</v>
      </c>
      <c r="H25" s="8">
        <v>5.8304534407297801</v>
      </c>
      <c r="I25" s="7">
        <v>11.1217703097299</v>
      </c>
      <c r="J25" s="5"/>
    </row>
    <row r="26" spans="1:10" x14ac:dyDescent="0.25">
      <c r="A26" s="1" t="s">
        <v>41</v>
      </c>
      <c r="B26" s="9">
        <v>81.006694768162603</v>
      </c>
      <c r="C26" s="9">
        <v>7.0419042896107102</v>
      </c>
      <c r="D26" s="9">
        <v>11.9514009422266</v>
      </c>
      <c r="E26" s="9">
        <v>1.1157946937763401</v>
      </c>
      <c r="F26" s="9">
        <v>3.37217951896851</v>
      </c>
      <c r="G26" s="9">
        <v>3.443994748887</v>
      </c>
      <c r="H26" s="9">
        <v>1.75934942000826</v>
      </c>
      <c r="I26" s="6">
        <v>5.20334416889526</v>
      </c>
      <c r="J26" s="5"/>
    </row>
    <row r="27" spans="1:10" x14ac:dyDescent="0.25">
      <c r="A27" s="1" t="s">
        <v>42</v>
      </c>
      <c r="B27" s="8">
        <v>82.692784527646893</v>
      </c>
      <c r="C27" s="8">
        <v>3.79370195883957</v>
      </c>
      <c r="D27" s="8">
        <v>13.5135135135135</v>
      </c>
      <c r="E27" s="8">
        <v>0</v>
      </c>
      <c r="F27" s="8">
        <v>2.3803620133895298</v>
      </c>
      <c r="G27" s="8">
        <v>3.3729795456407201</v>
      </c>
      <c r="H27" s="8">
        <v>0.85105552854285205</v>
      </c>
      <c r="I27" s="7">
        <v>4.2240350741835702</v>
      </c>
      <c r="J27" s="5"/>
    </row>
    <row r="28" spans="1:10" x14ac:dyDescent="0.25">
      <c r="A28" s="1" t="s">
        <v>43</v>
      </c>
      <c r="B28" s="9">
        <v>73.716836102157203</v>
      </c>
      <c r="C28" s="9">
        <v>18.894123481279401</v>
      </c>
      <c r="D28" s="9">
        <v>7.3890404165633496</v>
      </c>
      <c r="E28" s="9">
        <v>6.2484502851475296</v>
      </c>
      <c r="F28" s="9">
        <v>0.94222663030002396</v>
      </c>
      <c r="G28" s="9">
        <v>1.90553984840485</v>
      </c>
      <c r="H28" s="9">
        <v>4.3470228368087804</v>
      </c>
      <c r="I28" s="6">
        <v>6.25256268521363</v>
      </c>
      <c r="J28" s="5"/>
    </row>
    <row r="29" spans="1:10" x14ac:dyDescent="0.25">
      <c r="A29" s="1" t="s">
        <v>44</v>
      </c>
      <c r="B29" s="8">
        <v>92.4373915199603</v>
      </c>
      <c r="C29" s="8">
        <v>1.1653855690552899</v>
      </c>
      <c r="D29" s="8">
        <v>6.3972229109843699</v>
      </c>
      <c r="E29" s="8">
        <v>0</v>
      </c>
      <c r="F29" s="8">
        <v>0</v>
      </c>
      <c r="G29" s="8">
        <v>1.70204717026946</v>
      </c>
      <c r="H29" s="8">
        <v>0.58311158700608201</v>
      </c>
      <c r="I29" s="7">
        <v>2.2851587572755401</v>
      </c>
      <c r="J29" s="5"/>
    </row>
    <row r="30" spans="1:10" x14ac:dyDescent="0.25">
      <c r="A30" s="1" t="s">
        <v>45</v>
      </c>
      <c r="B30" s="9">
        <v>13.0671956360029</v>
      </c>
      <c r="C30" s="9">
        <v>15.0756260848003</v>
      </c>
      <c r="D30" s="9">
        <v>71.857178279196603</v>
      </c>
      <c r="E30" s="9">
        <v>11.505083064716001</v>
      </c>
      <c r="F30" s="9">
        <v>69.873543268038603</v>
      </c>
      <c r="G30" s="9">
        <v>24.3953023720575</v>
      </c>
      <c r="H30" s="9">
        <v>14.9438299323431</v>
      </c>
      <c r="I30" s="6">
        <v>39.3391323044007</v>
      </c>
      <c r="J30" s="5"/>
    </row>
    <row r="31" spans="1:10" x14ac:dyDescent="0.25">
      <c r="A31" s="1" t="s">
        <v>46</v>
      </c>
      <c r="B31" s="8">
        <v>90.0570295065708</v>
      </c>
      <c r="C31" s="8">
        <v>9.7694024299528799</v>
      </c>
      <c r="D31" s="8">
        <v>0.17356806347632001</v>
      </c>
      <c r="E31" s="8">
        <v>0.71906769154475503</v>
      </c>
      <c r="F31" s="8">
        <v>0</v>
      </c>
      <c r="G31" s="8">
        <v>0.61225905437755501</v>
      </c>
      <c r="H31" s="8">
        <v>1.8237320320047099</v>
      </c>
      <c r="I31" s="7">
        <v>2.43599108638226</v>
      </c>
      <c r="J31" s="5"/>
    </row>
    <row r="32" spans="1:10" x14ac:dyDescent="0.25">
      <c r="A32" s="1" t="s">
        <v>47</v>
      </c>
      <c r="B32" s="9">
        <v>61.244730969501603</v>
      </c>
      <c r="C32" s="9">
        <v>25.2665509546243</v>
      </c>
      <c r="D32" s="9">
        <v>13.488718075874001</v>
      </c>
      <c r="E32" s="9">
        <v>14.480535581452999</v>
      </c>
      <c r="F32" s="9">
        <v>4.7855194644185399</v>
      </c>
      <c r="G32" s="9">
        <v>3.3801300252885902</v>
      </c>
      <c r="H32" s="9">
        <v>7.6938113691356396</v>
      </c>
      <c r="I32" s="6">
        <v>11.0739413944242</v>
      </c>
      <c r="J32" s="5"/>
    </row>
    <row r="33" spans="2:10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25">
      <c r="B34" s="5"/>
      <c r="C34" s="5"/>
      <c r="D34" s="5"/>
      <c r="E34" s="5"/>
      <c r="F34" s="5"/>
      <c r="G34" s="5"/>
      <c r="H34" s="5"/>
      <c r="I34" s="5"/>
      <c r="J34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6F69-2B25-4686-B457-2F9A58FB419B}">
  <dimension ref="A1:J33"/>
  <sheetViews>
    <sheetView workbookViewId="0">
      <selection activeCell="C37" sqref="C37"/>
    </sheetView>
  </sheetViews>
  <sheetFormatPr defaultRowHeight="15" x14ac:dyDescent="0.25"/>
  <cols>
    <col min="1" max="1" width="14.85546875" bestFit="1" customWidth="1"/>
    <col min="2" max="3" width="18.85546875" bestFit="1" customWidth="1"/>
    <col min="4" max="5" width="19.85546875" bestFit="1" customWidth="1"/>
    <col min="6" max="6" width="18.85546875" bestFit="1" customWidth="1"/>
    <col min="7" max="7" width="20.85546875" bestFit="1" customWidth="1"/>
    <col min="8" max="9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10" x14ac:dyDescent="0.25">
      <c r="A3" s="1" t="s">
        <v>18</v>
      </c>
      <c r="B3" s="8">
        <v>100</v>
      </c>
      <c r="C3" s="8">
        <v>0</v>
      </c>
      <c r="D3" s="8">
        <v>0</v>
      </c>
      <c r="E3" s="8">
        <v>0</v>
      </c>
      <c r="F3" s="8">
        <v>0</v>
      </c>
      <c r="G3" s="8">
        <v>1.3939033354978401E-2</v>
      </c>
      <c r="H3" s="8">
        <v>0.38994707686258401</v>
      </c>
      <c r="I3" s="7">
        <v>0.40388611021756199</v>
      </c>
      <c r="J3" s="4"/>
    </row>
    <row r="4" spans="1:10" x14ac:dyDescent="0.25">
      <c r="A4" s="1" t="s">
        <v>19</v>
      </c>
      <c r="B4" s="9">
        <v>53.458963550706599</v>
      </c>
      <c r="C4" s="9">
        <v>34.639226382345598</v>
      </c>
      <c r="D4" s="9">
        <v>11.901810066947601</v>
      </c>
      <c r="E4" s="9">
        <v>4.6119514009422202</v>
      </c>
      <c r="F4" s="9">
        <v>2.5539300768658499</v>
      </c>
      <c r="G4" s="9">
        <v>2.5623702271045201</v>
      </c>
      <c r="H4" s="9">
        <v>6.4087899899331902</v>
      </c>
      <c r="I4" s="6">
        <v>8.9711602170377205</v>
      </c>
      <c r="J4" s="4"/>
    </row>
    <row r="5" spans="1:10" x14ac:dyDescent="0.25">
      <c r="A5" s="1" t="s">
        <v>20</v>
      </c>
      <c r="B5" s="8">
        <v>88.5940986858418</v>
      </c>
      <c r="C5" s="8">
        <v>11.0587651872055</v>
      </c>
      <c r="D5" s="8">
        <v>0.34713612695264001</v>
      </c>
      <c r="E5" s="8">
        <v>0</v>
      </c>
      <c r="F5" s="8">
        <v>0</v>
      </c>
      <c r="G5" s="8">
        <v>0.14235350449513501</v>
      </c>
      <c r="H5" s="8">
        <v>2.5908240994371798</v>
      </c>
      <c r="I5" s="7">
        <v>2.7331776039323201</v>
      </c>
      <c r="J5" s="4"/>
    </row>
    <row r="6" spans="1:10" x14ac:dyDescent="0.25">
      <c r="A6" s="1" t="s">
        <v>21</v>
      </c>
      <c r="B6" s="9">
        <v>81.948921398462602</v>
      </c>
      <c r="C6" s="9">
        <v>17.356806347631998</v>
      </c>
      <c r="D6" s="9">
        <v>0.69427225390528102</v>
      </c>
      <c r="E6" s="9">
        <v>0.17356806347632001</v>
      </c>
      <c r="F6" s="9">
        <v>0</v>
      </c>
      <c r="G6" s="9">
        <v>0.53174640188060196</v>
      </c>
      <c r="H6" s="9">
        <v>3.39677886346775</v>
      </c>
      <c r="I6" s="6">
        <v>3.92852526534835</v>
      </c>
      <c r="J6" s="4"/>
    </row>
    <row r="7" spans="1:10" x14ac:dyDescent="0.25">
      <c r="A7" s="1" t="s">
        <v>22</v>
      </c>
      <c r="B7" s="8">
        <v>71.336474088767602</v>
      </c>
      <c r="C7" s="8">
        <v>27.7212992809323</v>
      </c>
      <c r="D7" s="8">
        <v>0.94222663030002396</v>
      </c>
      <c r="E7" s="8">
        <v>7.88494916935284</v>
      </c>
      <c r="F7" s="8">
        <v>0</v>
      </c>
      <c r="G7" s="8">
        <v>0.62246087826154695</v>
      </c>
      <c r="H7" s="8">
        <v>5.7938411154028797</v>
      </c>
      <c r="I7" s="7">
        <v>6.4163019936644199</v>
      </c>
      <c r="J7" s="4"/>
    </row>
    <row r="8" spans="1:10" x14ac:dyDescent="0.25">
      <c r="A8" s="1" t="s">
        <v>23</v>
      </c>
      <c r="B8" s="9">
        <v>94.073890404165596</v>
      </c>
      <c r="C8" s="9">
        <v>5.9261095958343599</v>
      </c>
      <c r="D8" s="9">
        <v>0</v>
      </c>
      <c r="E8" s="9">
        <v>0</v>
      </c>
      <c r="F8" s="9">
        <v>0</v>
      </c>
      <c r="G8" s="9">
        <v>0.121252589645505</v>
      </c>
      <c r="H8" s="9">
        <v>1.61673097207733</v>
      </c>
      <c r="I8" s="6">
        <v>1.7379835617228401</v>
      </c>
      <c r="J8" s="4"/>
    </row>
    <row r="9" spans="1:10" x14ac:dyDescent="0.25">
      <c r="A9" s="1" t="s">
        <v>24</v>
      </c>
      <c r="B9" s="8">
        <v>58.244483015125198</v>
      </c>
      <c r="C9" s="8">
        <v>35.705430200842997</v>
      </c>
      <c r="D9" s="8">
        <v>6.0500867840317296</v>
      </c>
      <c r="E9" s="8">
        <v>15.1500123977188</v>
      </c>
      <c r="F9" s="8">
        <v>0.595090503347384</v>
      </c>
      <c r="G9" s="8">
        <v>1.5530861178579001</v>
      </c>
      <c r="H9" s="8">
        <v>8.3963599119407704</v>
      </c>
      <c r="I9" s="7">
        <v>9.9494460297986809</v>
      </c>
      <c r="J9" s="4"/>
    </row>
    <row r="10" spans="1:10" x14ac:dyDescent="0.25">
      <c r="A10" s="1" t="s">
        <v>25</v>
      </c>
      <c r="B10" s="9">
        <v>64.418546987354304</v>
      </c>
      <c r="C10" s="9">
        <v>31.738160178527099</v>
      </c>
      <c r="D10" s="9">
        <v>3.84329283411852</v>
      </c>
      <c r="E10" s="9">
        <v>10.1165385569055</v>
      </c>
      <c r="F10" s="9">
        <v>0.39672700223158902</v>
      </c>
      <c r="G10" s="9">
        <v>1.2747459329051101</v>
      </c>
      <c r="H10" s="9">
        <v>6.7302745481450303</v>
      </c>
      <c r="I10" s="6">
        <v>8.0050204810501508</v>
      </c>
      <c r="J10" s="4"/>
    </row>
    <row r="11" spans="1:10" x14ac:dyDescent="0.25">
      <c r="A11" s="1" t="s">
        <v>26</v>
      </c>
      <c r="B11" s="8">
        <v>86.387304735928595</v>
      </c>
      <c r="C11" s="8">
        <v>13.6126952640714</v>
      </c>
      <c r="D11" s="8">
        <v>0</v>
      </c>
      <c r="E11" s="8">
        <v>0</v>
      </c>
      <c r="F11" s="8">
        <v>0</v>
      </c>
      <c r="G11" s="8">
        <v>0.22653905170222299</v>
      </c>
      <c r="H11" s="8">
        <v>2.8476168220090399</v>
      </c>
      <c r="I11" s="7">
        <v>3.0741558737112702</v>
      </c>
      <c r="J11" s="4"/>
    </row>
    <row r="12" spans="1:10" x14ac:dyDescent="0.25">
      <c r="A12" s="1" t="s">
        <v>27</v>
      </c>
      <c r="B12" s="9">
        <v>95.214480535581401</v>
      </c>
      <c r="C12" s="9">
        <v>4.0416563352343102</v>
      </c>
      <c r="D12" s="9">
        <v>0.74386312918423003</v>
      </c>
      <c r="E12" s="9">
        <v>0</v>
      </c>
      <c r="F12" s="9">
        <v>0</v>
      </c>
      <c r="G12" s="9">
        <v>0.39067262038762002</v>
      </c>
      <c r="H12" s="9">
        <v>1.6866924996827899</v>
      </c>
      <c r="I12" s="6">
        <v>2.07736512007041</v>
      </c>
      <c r="J12" s="4"/>
    </row>
    <row r="13" spans="1:10" x14ac:dyDescent="0.25">
      <c r="A13" s="1" t="s">
        <v>28</v>
      </c>
      <c r="B13" s="8">
        <v>91.792710141333998</v>
      </c>
      <c r="C13" s="8">
        <v>8.0337217951896793</v>
      </c>
      <c r="D13" s="8">
        <v>0.17356806347632001</v>
      </c>
      <c r="E13" s="8">
        <v>0</v>
      </c>
      <c r="F13" s="8">
        <v>0</v>
      </c>
      <c r="G13" s="8">
        <v>0.60420359801151602</v>
      </c>
      <c r="H13" s="8">
        <v>2.2181433110261999</v>
      </c>
      <c r="I13" s="7">
        <v>2.8223469090377198</v>
      </c>
      <c r="J13" s="4"/>
    </row>
    <row r="14" spans="1:10" x14ac:dyDescent="0.25">
      <c r="A14" s="1" t="s">
        <v>29</v>
      </c>
      <c r="B14" s="9">
        <v>99.801636498884207</v>
      </c>
      <c r="C14" s="9">
        <v>0.19836350111579401</v>
      </c>
      <c r="D14" s="9">
        <v>0</v>
      </c>
      <c r="E14" s="9">
        <v>0</v>
      </c>
      <c r="F14" s="9">
        <v>0</v>
      </c>
      <c r="G14" s="9">
        <v>0.33588139743888401</v>
      </c>
      <c r="H14" s="9">
        <v>0.87673650321907903</v>
      </c>
      <c r="I14" s="6">
        <v>1.21261790065796</v>
      </c>
      <c r="J14" s="4"/>
    </row>
    <row r="15" spans="1:10" x14ac:dyDescent="0.25">
      <c r="A15" s="1" t="s">
        <v>30</v>
      </c>
      <c r="B15" s="8">
        <v>98.065955864120994</v>
      </c>
      <c r="C15" s="8">
        <v>1.9340441358789899</v>
      </c>
      <c r="D15" s="8">
        <v>0</v>
      </c>
      <c r="E15" s="8">
        <v>0</v>
      </c>
      <c r="F15" s="8">
        <v>0</v>
      </c>
      <c r="G15" s="8">
        <v>4.7417407608531997E-2</v>
      </c>
      <c r="H15" s="8">
        <v>1.3028271035352099</v>
      </c>
      <c r="I15" s="7">
        <v>1.35024451114374</v>
      </c>
      <c r="J15" s="4"/>
    </row>
    <row r="16" spans="1:10" x14ac:dyDescent="0.25">
      <c r="A16" s="1" t="s">
        <v>31</v>
      </c>
      <c r="B16" s="9">
        <v>89.461939003223407</v>
      </c>
      <c r="C16" s="9">
        <v>10.538060996776499</v>
      </c>
      <c r="D16" s="9">
        <v>0</v>
      </c>
      <c r="E16" s="9">
        <v>0.37193156459211502</v>
      </c>
      <c r="F16" s="9">
        <v>0</v>
      </c>
      <c r="G16" s="9">
        <v>4.5796624751523303E-2</v>
      </c>
      <c r="H16" s="9">
        <v>2.1260569632562598</v>
      </c>
      <c r="I16" s="6">
        <v>2.17185358800779</v>
      </c>
      <c r="J16" s="4"/>
    </row>
    <row r="17" spans="1:10" x14ac:dyDescent="0.25">
      <c r="A17" s="1" t="s">
        <v>32</v>
      </c>
      <c r="B17" s="8">
        <v>96.826183982147199</v>
      </c>
      <c r="C17" s="8">
        <v>3.1738160178527099</v>
      </c>
      <c r="D17" s="8">
        <v>0</v>
      </c>
      <c r="E17" s="8">
        <v>0</v>
      </c>
      <c r="F17" s="8">
        <v>0</v>
      </c>
      <c r="G17" s="8">
        <v>0.16252486293821999</v>
      </c>
      <c r="H17" s="8">
        <v>1.4491151349011</v>
      </c>
      <c r="I17" s="7">
        <v>1.6116399978393201</v>
      </c>
      <c r="J17" s="4"/>
    </row>
    <row r="18" spans="1:10" x14ac:dyDescent="0.25">
      <c r="A18" s="1" t="s">
        <v>33</v>
      </c>
      <c r="B18" s="9">
        <v>91.792710141333998</v>
      </c>
      <c r="C18" s="9">
        <v>7.6865856682370399</v>
      </c>
      <c r="D18" s="9">
        <v>0.52070419042896099</v>
      </c>
      <c r="E18" s="9">
        <v>0</v>
      </c>
      <c r="F18" s="9">
        <v>0</v>
      </c>
      <c r="G18" s="9">
        <v>0.20535441362565601</v>
      </c>
      <c r="H18" s="9">
        <v>2.2625752891307198</v>
      </c>
      <c r="I18" s="6">
        <v>2.46792970275638</v>
      </c>
      <c r="J18" s="4"/>
    </row>
    <row r="19" spans="1:10" x14ac:dyDescent="0.25">
      <c r="A19" s="1" t="s">
        <v>34</v>
      </c>
      <c r="B19" s="8">
        <v>99.280932308455206</v>
      </c>
      <c r="C19" s="8">
        <v>0.71906769154475503</v>
      </c>
      <c r="D19" s="8">
        <v>0</v>
      </c>
      <c r="E19" s="8">
        <v>0</v>
      </c>
      <c r="F19" s="8">
        <v>0</v>
      </c>
      <c r="G19" s="8">
        <v>0.124788713060155</v>
      </c>
      <c r="H19" s="8">
        <v>1.03621845413384</v>
      </c>
      <c r="I19" s="7">
        <v>1.1610071671940001</v>
      </c>
      <c r="J19" s="4"/>
    </row>
    <row r="20" spans="1:10" x14ac:dyDescent="0.25">
      <c r="A20" s="1" t="s">
        <v>35</v>
      </c>
      <c r="B20" s="9">
        <v>99.305727746094703</v>
      </c>
      <c r="C20" s="9">
        <v>0.69427225390528102</v>
      </c>
      <c r="D20" s="9">
        <v>0</v>
      </c>
      <c r="E20" s="9">
        <v>0</v>
      </c>
      <c r="F20" s="9">
        <v>0</v>
      </c>
      <c r="G20" s="9">
        <v>0.123097765616732</v>
      </c>
      <c r="H20" s="9">
        <v>0.77196274726276803</v>
      </c>
      <c r="I20" s="6">
        <v>0.89506051287950095</v>
      </c>
      <c r="J20" s="4"/>
    </row>
    <row r="21" spans="1:10" x14ac:dyDescent="0.25">
      <c r="A21" s="1" t="s">
        <v>36</v>
      </c>
      <c r="B21" s="8">
        <v>65.559137118770096</v>
      </c>
      <c r="C21" s="8">
        <v>17.282420034713599</v>
      </c>
      <c r="D21" s="8">
        <v>17.158442846516198</v>
      </c>
      <c r="E21" s="8">
        <v>0.96702206793949896</v>
      </c>
      <c r="F21" s="8">
        <v>3.5209521448053498</v>
      </c>
      <c r="G21" s="8">
        <v>3.3235745923232098</v>
      </c>
      <c r="H21" s="8">
        <v>3.4869224201173101</v>
      </c>
      <c r="I21" s="7">
        <v>6.8104970124405302</v>
      </c>
      <c r="J21" s="4"/>
    </row>
    <row r="22" spans="1:10" x14ac:dyDescent="0.25">
      <c r="A22" s="1" t="s">
        <v>37</v>
      </c>
      <c r="B22" s="9">
        <v>86.982395239275903</v>
      </c>
      <c r="C22" s="9">
        <v>13.017604760724</v>
      </c>
      <c r="D22" s="9">
        <v>0</v>
      </c>
      <c r="E22" s="9">
        <v>0</v>
      </c>
      <c r="F22" s="9">
        <v>0</v>
      </c>
      <c r="G22" s="9">
        <v>0.40040111421945601</v>
      </c>
      <c r="H22" s="9">
        <v>2.8814624437946801</v>
      </c>
      <c r="I22" s="6">
        <v>3.2818635580141402</v>
      </c>
      <c r="J22" s="4"/>
    </row>
    <row r="23" spans="1:10" x14ac:dyDescent="0.25">
      <c r="A23" s="1" t="s">
        <v>38</v>
      </c>
      <c r="B23" s="8">
        <v>72.601041408380794</v>
      </c>
      <c r="C23" s="8">
        <v>15.397966774113501</v>
      </c>
      <c r="D23" s="8">
        <v>12.000991817505501</v>
      </c>
      <c r="E23" s="8">
        <v>5.9757004711133099</v>
      </c>
      <c r="F23" s="8">
        <v>1.1157946937763401</v>
      </c>
      <c r="G23" s="8">
        <v>2.7024119771421899</v>
      </c>
      <c r="H23" s="8">
        <v>4.0345758600641597</v>
      </c>
      <c r="I23" s="7">
        <v>6.7369878372063603</v>
      </c>
      <c r="J23" s="4"/>
    </row>
    <row r="24" spans="1:10" x14ac:dyDescent="0.25">
      <c r="A24" s="1" t="s">
        <v>39</v>
      </c>
      <c r="B24" s="9">
        <v>85.494668980907505</v>
      </c>
      <c r="C24" s="9">
        <v>12.174559880981899</v>
      </c>
      <c r="D24" s="9">
        <v>2.3307711381105798</v>
      </c>
      <c r="E24" s="9">
        <v>0</v>
      </c>
      <c r="F24" s="9">
        <v>0.47111331515001198</v>
      </c>
      <c r="G24" s="9">
        <v>1.09032829498354</v>
      </c>
      <c r="H24" s="9">
        <v>2.6536803044794999</v>
      </c>
      <c r="I24" s="6">
        <v>3.7440085994630499</v>
      </c>
      <c r="J24" s="4"/>
    </row>
    <row r="25" spans="1:10" x14ac:dyDescent="0.25">
      <c r="A25" s="1" t="s">
        <v>40</v>
      </c>
      <c r="B25" s="8">
        <v>58.0957103892883</v>
      </c>
      <c r="C25" s="8">
        <v>22.390280188445299</v>
      </c>
      <c r="D25" s="8">
        <v>19.514009422266302</v>
      </c>
      <c r="E25" s="8">
        <v>10.2653111827423</v>
      </c>
      <c r="F25" s="8">
        <v>5.3806099677659303</v>
      </c>
      <c r="G25" s="8">
        <v>4.92859693213651</v>
      </c>
      <c r="H25" s="8">
        <v>5.9591473758454701</v>
      </c>
      <c r="I25" s="7">
        <v>10.887744307981899</v>
      </c>
      <c r="J25" s="4"/>
    </row>
    <row r="26" spans="1:10" x14ac:dyDescent="0.25">
      <c r="A26" s="1" t="s">
        <v>41</v>
      </c>
      <c r="B26" s="9">
        <v>80.733944954128404</v>
      </c>
      <c r="C26" s="9">
        <v>7.0666997272501799</v>
      </c>
      <c r="D26" s="9">
        <v>12.199355318621301</v>
      </c>
      <c r="E26" s="9">
        <v>1.04140838085792</v>
      </c>
      <c r="F26" s="9">
        <v>3.32258864368956</v>
      </c>
      <c r="G26" s="9">
        <v>3.4733656669546802</v>
      </c>
      <c r="H26" s="9">
        <v>1.7278872147685</v>
      </c>
      <c r="I26" s="6">
        <v>5.2012528817231898</v>
      </c>
      <c r="J26" s="4"/>
    </row>
    <row r="27" spans="1:10" x14ac:dyDescent="0.25">
      <c r="A27" s="1" t="s">
        <v>42</v>
      </c>
      <c r="B27" s="8">
        <v>82.841557153483706</v>
      </c>
      <c r="C27" s="8">
        <v>3.79370195883957</v>
      </c>
      <c r="D27" s="8">
        <v>13.3647408876766</v>
      </c>
      <c r="E27" s="8">
        <v>0</v>
      </c>
      <c r="F27" s="8">
        <v>2.3059757004711101</v>
      </c>
      <c r="G27" s="8">
        <v>3.3197762433340898</v>
      </c>
      <c r="H27" s="8">
        <v>0.87544398784662503</v>
      </c>
      <c r="I27" s="7">
        <v>4.1952202311807198</v>
      </c>
      <c r="J27" s="4"/>
    </row>
    <row r="28" spans="1:10" x14ac:dyDescent="0.25">
      <c r="A28" s="1" t="s">
        <v>43</v>
      </c>
      <c r="B28" s="9">
        <v>74.287131167865098</v>
      </c>
      <c r="C28" s="9">
        <v>19.117282420034702</v>
      </c>
      <c r="D28" s="9">
        <v>6.5955864121001699</v>
      </c>
      <c r="E28" s="9">
        <v>6.3972229109843699</v>
      </c>
      <c r="F28" s="9">
        <v>0.94222663030002396</v>
      </c>
      <c r="G28" s="9">
        <v>1.85696577175507</v>
      </c>
      <c r="H28" s="9">
        <v>4.4087815717966103</v>
      </c>
      <c r="I28" s="6">
        <v>6.2657473435516797</v>
      </c>
      <c r="J28" s="4"/>
    </row>
    <row r="29" spans="1:10" x14ac:dyDescent="0.25">
      <c r="A29" s="1" t="s">
        <v>44</v>
      </c>
      <c r="B29" s="8">
        <v>92.809323084552403</v>
      </c>
      <c r="C29" s="8">
        <v>1.2149764443342399</v>
      </c>
      <c r="D29" s="8">
        <v>5.9757004711133099</v>
      </c>
      <c r="E29" s="8">
        <v>0</v>
      </c>
      <c r="F29" s="8">
        <v>0</v>
      </c>
      <c r="G29" s="8">
        <v>1.65845313452077</v>
      </c>
      <c r="H29" s="8">
        <v>0.58856614851448896</v>
      </c>
      <c r="I29" s="7">
        <v>2.24701928303526</v>
      </c>
      <c r="J29" s="4"/>
    </row>
    <row r="30" spans="1:10" x14ac:dyDescent="0.25">
      <c r="A30" s="1" t="s">
        <v>45</v>
      </c>
      <c r="B30" s="9">
        <v>13.0671956360029</v>
      </c>
      <c r="C30" s="9">
        <v>15.100421522439801</v>
      </c>
      <c r="D30" s="9">
        <v>71.832382841557106</v>
      </c>
      <c r="E30" s="9">
        <v>11.505083064716001</v>
      </c>
      <c r="F30" s="9">
        <v>69.848747830399205</v>
      </c>
      <c r="G30" s="9">
        <v>24.074514345905701</v>
      </c>
      <c r="H30" s="9">
        <v>14.9473108231499</v>
      </c>
      <c r="I30" s="6">
        <v>39.021825169055703</v>
      </c>
      <c r="J30" s="4"/>
    </row>
    <row r="31" spans="1:10" x14ac:dyDescent="0.25">
      <c r="A31" s="1" t="s">
        <v>46</v>
      </c>
      <c r="B31" s="8">
        <v>89.263575502107599</v>
      </c>
      <c r="C31" s="8">
        <v>10.0669476816265</v>
      </c>
      <c r="D31" s="8">
        <v>0.66947681626580702</v>
      </c>
      <c r="E31" s="8">
        <v>1.1157946937763401</v>
      </c>
      <c r="F31" s="8">
        <v>0</v>
      </c>
      <c r="G31" s="8">
        <v>0.71183498132434897</v>
      </c>
      <c r="H31" s="8">
        <v>1.9305924928301901</v>
      </c>
      <c r="I31" s="7">
        <v>2.6424274741545402</v>
      </c>
      <c r="J31" s="4"/>
    </row>
    <row r="32" spans="1:10" x14ac:dyDescent="0.25">
      <c r="A32" s="1" t="s">
        <v>47</v>
      </c>
      <c r="B32" s="9">
        <v>61.790230597570002</v>
      </c>
      <c r="C32" s="9">
        <v>25.514505331018999</v>
      </c>
      <c r="D32" s="9">
        <v>12.695264071410801</v>
      </c>
      <c r="E32" s="9">
        <v>14.8276717084056</v>
      </c>
      <c r="F32" s="9">
        <v>3.89288370939747</v>
      </c>
      <c r="G32" s="9">
        <v>3.07974446673781</v>
      </c>
      <c r="H32" s="9">
        <v>7.8519825473453899</v>
      </c>
      <c r="I32" s="6">
        <v>10.931727014083201</v>
      </c>
      <c r="J32" s="4"/>
    </row>
    <row r="33" spans="2:10" x14ac:dyDescent="0.25">
      <c r="B33" s="4"/>
      <c r="C33" s="4"/>
      <c r="D33" s="4"/>
      <c r="E33" s="4"/>
      <c r="F33" s="4"/>
      <c r="G33" s="4"/>
      <c r="H33" s="4"/>
      <c r="I33" s="4"/>
      <c r="J33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6D68-A32E-441C-93C2-87E725E3E08D}">
  <dimension ref="A2:G33"/>
  <sheetViews>
    <sheetView tabSelected="1" workbookViewId="0">
      <selection activeCell="M41" sqref="M41"/>
    </sheetView>
  </sheetViews>
  <sheetFormatPr defaultRowHeight="15" x14ac:dyDescent="0.25"/>
  <cols>
    <col min="1" max="1" width="14.85546875" bestFit="1" customWidth="1"/>
    <col min="2" max="3" width="18.85546875" bestFit="1" customWidth="1"/>
    <col min="4" max="4" width="19.85546875" bestFit="1" customWidth="1"/>
    <col min="5" max="5" width="13.28515625" bestFit="1" customWidth="1"/>
    <col min="6" max="6" width="22.85546875" bestFit="1" customWidth="1"/>
    <col min="7" max="7" width="12.5703125" bestFit="1" customWidth="1"/>
  </cols>
  <sheetData>
    <row r="2" spans="1:7" x14ac:dyDescent="0.25">
      <c r="B2" t="s">
        <v>50</v>
      </c>
      <c r="C2" t="s">
        <v>51</v>
      </c>
      <c r="D2" t="s">
        <v>52</v>
      </c>
    </row>
    <row r="3" spans="1:7" x14ac:dyDescent="0.25">
      <c r="A3" t="s">
        <v>49</v>
      </c>
      <c r="B3" s="6" t="s">
        <v>17</v>
      </c>
      <c r="C3" s="6" t="s">
        <v>17</v>
      </c>
      <c r="D3" s="6" t="s">
        <v>17</v>
      </c>
      <c r="E3" t="s">
        <v>53</v>
      </c>
      <c r="F3" s="10" t="s">
        <v>48</v>
      </c>
    </row>
    <row r="4" spans="1:7" x14ac:dyDescent="0.25">
      <c r="A4" s="2" t="s">
        <v>18</v>
      </c>
      <c r="B4" s="7">
        <v>0.61249051436353996</v>
      </c>
      <c r="C4" s="7">
        <v>0.49140718202581901</v>
      </c>
      <c r="D4" s="7">
        <v>0.40388611021756199</v>
      </c>
      <c r="E4">
        <f>MIN(Loop:Autosens!I3)</f>
        <v>0.40388611021756199</v>
      </c>
      <c r="F4" t="e">
        <f>INDEX($B$2:$D$2, MATCH(#REF!, B4:D4, 0))</f>
        <v>#REF!</v>
      </c>
      <c r="G4" s="11"/>
    </row>
    <row r="5" spans="1:7" x14ac:dyDescent="0.25">
      <c r="A5" s="3" t="s">
        <v>19</v>
      </c>
      <c r="B5" s="6">
        <v>8.7193504681551897</v>
      </c>
      <c r="C5" s="6">
        <v>8.9720128980973897</v>
      </c>
      <c r="D5" s="6">
        <v>8.9711602170377205</v>
      </c>
      <c r="E5">
        <f t="shared" ref="E5:E33" si="0">MIN(B5:D5)</f>
        <v>8.7193504681551897</v>
      </c>
      <c r="F5" t="str">
        <f t="shared" ref="F5:F33" si="1">INDEX($B$2:$D$2, MATCH(E5, B5:D5, 0))</f>
        <v>Loop</v>
      </c>
    </row>
    <row r="6" spans="1:7" x14ac:dyDescent="0.25">
      <c r="A6" s="2" t="s">
        <v>20</v>
      </c>
      <c r="B6" s="7">
        <v>3.1403867715703702</v>
      </c>
      <c r="C6" s="7">
        <v>2.8521435525344598</v>
      </c>
      <c r="D6" s="7">
        <v>2.7331776039323201</v>
      </c>
      <c r="E6">
        <f t="shared" si="0"/>
        <v>2.7331776039323201</v>
      </c>
      <c r="F6" t="str">
        <f t="shared" si="1"/>
        <v>Autosens</v>
      </c>
    </row>
    <row r="7" spans="1:7" x14ac:dyDescent="0.25">
      <c r="A7" s="3" t="s">
        <v>21</v>
      </c>
      <c r="B7" s="6">
        <v>4.1371824022137602</v>
      </c>
      <c r="C7" s="6">
        <v>4.0267150601500097</v>
      </c>
      <c r="D7" s="6">
        <v>3.92852526534835</v>
      </c>
      <c r="E7">
        <f t="shared" si="0"/>
        <v>3.92852526534835</v>
      </c>
      <c r="F7" t="str">
        <f t="shared" si="1"/>
        <v>Autosens</v>
      </c>
    </row>
    <row r="8" spans="1:7" x14ac:dyDescent="0.25">
      <c r="A8" s="2" t="s">
        <v>22</v>
      </c>
      <c r="B8" s="7">
        <v>6.2846965840869498</v>
      </c>
      <c r="C8" s="7">
        <v>6.34200202847817</v>
      </c>
      <c r="D8" s="7">
        <v>6.4163019936644199</v>
      </c>
      <c r="E8">
        <f t="shared" si="0"/>
        <v>6.2846965840869498</v>
      </c>
      <c r="F8" t="str">
        <f t="shared" si="1"/>
        <v>Loop</v>
      </c>
    </row>
    <row r="9" spans="1:7" x14ac:dyDescent="0.25">
      <c r="A9" s="3" t="s">
        <v>23</v>
      </c>
      <c r="B9" s="6">
        <v>1.89859858424962</v>
      </c>
      <c r="C9" s="6">
        <v>1.8118510019891201</v>
      </c>
      <c r="D9" s="6">
        <v>1.7379835617228401</v>
      </c>
      <c r="E9">
        <f t="shared" si="0"/>
        <v>1.7379835617228401</v>
      </c>
      <c r="F9" t="str">
        <f t="shared" si="1"/>
        <v>Autosens</v>
      </c>
    </row>
    <row r="10" spans="1:7" x14ac:dyDescent="0.25">
      <c r="A10" s="2" t="s">
        <v>24</v>
      </c>
      <c r="B10" s="7">
        <v>9.8920402302223902</v>
      </c>
      <c r="C10" s="7">
        <v>9.9563506345369994</v>
      </c>
      <c r="D10" s="7">
        <v>9.9494460297986809</v>
      </c>
      <c r="E10">
        <f t="shared" si="0"/>
        <v>9.8920402302223902</v>
      </c>
      <c r="F10" t="str">
        <f t="shared" si="1"/>
        <v>Loop</v>
      </c>
    </row>
    <row r="11" spans="1:7" x14ac:dyDescent="0.25">
      <c r="A11" s="3" t="s">
        <v>25</v>
      </c>
      <c r="B11" s="6">
        <v>7.97093054957283</v>
      </c>
      <c r="C11" s="6">
        <v>8.0067725459101098</v>
      </c>
      <c r="D11" s="6">
        <v>8.0050204810501508</v>
      </c>
      <c r="E11">
        <f t="shared" si="0"/>
        <v>7.97093054957283</v>
      </c>
      <c r="F11" t="str">
        <f t="shared" si="1"/>
        <v>Loop</v>
      </c>
    </row>
    <row r="12" spans="1:7" x14ac:dyDescent="0.25">
      <c r="A12" s="2" t="s">
        <v>26</v>
      </c>
      <c r="B12" s="7">
        <v>3.3695322016959701</v>
      </c>
      <c r="C12" s="7">
        <v>3.1918074761767801</v>
      </c>
      <c r="D12" s="7">
        <v>3.0741558737112702</v>
      </c>
      <c r="E12">
        <f t="shared" si="0"/>
        <v>3.0741558737112702</v>
      </c>
      <c r="F12" t="str">
        <f t="shared" si="1"/>
        <v>Autosens</v>
      </c>
    </row>
    <row r="13" spans="1:7" x14ac:dyDescent="0.25">
      <c r="A13" s="3" t="s">
        <v>27</v>
      </c>
      <c r="B13" s="6">
        <v>2.16672868306182</v>
      </c>
      <c r="C13" s="6">
        <v>2.1604735473275598</v>
      </c>
      <c r="D13" s="6">
        <v>2.07736512007041</v>
      </c>
      <c r="E13">
        <f t="shared" si="0"/>
        <v>2.07736512007041</v>
      </c>
      <c r="F13" t="str">
        <f t="shared" si="1"/>
        <v>Autosens</v>
      </c>
    </row>
    <row r="14" spans="1:7" x14ac:dyDescent="0.25">
      <c r="A14" s="2" t="s">
        <v>28</v>
      </c>
      <c r="B14" s="7">
        <v>3.0000551186172899</v>
      </c>
      <c r="C14" s="7">
        <v>2.88657972021868</v>
      </c>
      <c r="D14" s="7">
        <v>2.8223469090377198</v>
      </c>
      <c r="E14">
        <f t="shared" si="0"/>
        <v>2.8223469090377198</v>
      </c>
      <c r="F14" t="str">
        <f t="shared" si="1"/>
        <v>Autosens</v>
      </c>
    </row>
    <row r="15" spans="1:7" x14ac:dyDescent="0.25">
      <c r="A15" s="3" t="s">
        <v>29</v>
      </c>
      <c r="B15" s="6">
        <v>1.2977437465896</v>
      </c>
      <c r="C15" s="6">
        <v>1.2559042375855101</v>
      </c>
      <c r="D15" s="6">
        <v>1.21261790065796</v>
      </c>
      <c r="E15">
        <f t="shared" si="0"/>
        <v>1.21261790065796</v>
      </c>
      <c r="F15" t="str">
        <f t="shared" si="1"/>
        <v>Autosens</v>
      </c>
    </row>
    <row r="16" spans="1:7" x14ac:dyDescent="0.25">
      <c r="A16" s="2" t="s">
        <v>30</v>
      </c>
      <c r="B16" s="7">
        <v>1.84382563485023</v>
      </c>
      <c r="C16" s="7">
        <v>1.6496468299339799</v>
      </c>
      <c r="D16" s="7">
        <v>1.35024451114374</v>
      </c>
      <c r="E16">
        <f t="shared" si="0"/>
        <v>1.35024451114374</v>
      </c>
      <c r="F16" t="str">
        <f t="shared" si="1"/>
        <v>Autosens</v>
      </c>
    </row>
    <row r="17" spans="1:6" x14ac:dyDescent="0.25">
      <c r="A17" s="3" t="s">
        <v>31</v>
      </c>
      <c r="B17" s="6">
        <v>2.60791264065581</v>
      </c>
      <c r="C17" s="6">
        <v>2.1737050376090399</v>
      </c>
      <c r="D17" s="6">
        <v>2.17185358800779</v>
      </c>
      <c r="E17">
        <f t="shared" si="0"/>
        <v>2.17185358800779</v>
      </c>
      <c r="F17" t="str">
        <f t="shared" si="1"/>
        <v>Autosens</v>
      </c>
    </row>
    <row r="18" spans="1:6" x14ac:dyDescent="0.25">
      <c r="A18" s="2" t="s">
        <v>32</v>
      </c>
      <c r="B18" s="7">
        <v>1.8971023966663401</v>
      </c>
      <c r="C18" s="7">
        <v>1.7748060478259899</v>
      </c>
      <c r="D18" s="7">
        <v>1.6116399978393201</v>
      </c>
      <c r="E18">
        <f t="shared" si="0"/>
        <v>1.6116399978393201</v>
      </c>
      <c r="F18" t="str">
        <f t="shared" si="1"/>
        <v>Autosens</v>
      </c>
    </row>
    <row r="19" spans="1:6" x14ac:dyDescent="0.25">
      <c r="A19" s="3" t="s">
        <v>33</v>
      </c>
      <c r="B19" s="6">
        <v>2.7254378361783802</v>
      </c>
      <c r="C19" s="6">
        <v>2.5522988230902901</v>
      </c>
      <c r="D19" s="6">
        <v>2.46792970275638</v>
      </c>
      <c r="E19">
        <f t="shared" si="0"/>
        <v>2.46792970275638</v>
      </c>
      <c r="F19" t="str">
        <f t="shared" si="1"/>
        <v>Autosens</v>
      </c>
    </row>
    <row r="20" spans="1:6" x14ac:dyDescent="0.25">
      <c r="A20" s="2" t="s">
        <v>34</v>
      </c>
      <c r="B20" s="7">
        <v>1.6861463772991201</v>
      </c>
      <c r="C20" s="7">
        <v>1.33970454104628</v>
      </c>
      <c r="D20" s="7">
        <v>1.1610071671940001</v>
      </c>
      <c r="E20">
        <f t="shared" si="0"/>
        <v>1.1610071671940001</v>
      </c>
      <c r="F20" t="str">
        <f t="shared" si="1"/>
        <v>Autosens</v>
      </c>
    </row>
    <row r="21" spans="1:6" x14ac:dyDescent="0.25">
      <c r="A21" s="3" t="s">
        <v>35</v>
      </c>
      <c r="B21" s="6">
        <v>1.1178093979300601</v>
      </c>
      <c r="C21" s="6">
        <v>0.98398710803337097</v>
      </c>
      <c r="D21" s="6">
        <v>0.89506051287950095</v>
      </c>
      <c r="E21">
        <f t="shared" si="0"/>
        <v>0.89506051287950095</v>
      </c>
      <c r="F21" t="str">
        <f t="shared" si="1"/>
        <v>Autosens</v>
      </c>
    </row>
    <row r="22" spans="1:6" x14ac:dyDescent="0.25">
      <c r="A22" s="2" t="s">
        <v>36</v>
      </c>
      <c r="B22" s="7">
        <v>6.3973323708159899</v>
      </c>
      <c r="C22" s="7">
        <v>6.7564622114915798</v>
      </c>
      <c r="D22" s="7">
        <v>6.8104970124405302</v>
      </c>
      <c r="E22">
        <f t="shared" si="0"/>
        <v>6.3973323708159899</v>
      </c>
      <c r="F22" t="str">
        <f t="shared" si="1"/>
        <v>Loop</v>
      </c>
    </row>
    <row r="23" spans="1:6" x14ac:dyDescent="0.25">
      <c r="A23" s="3" t="s">
        <v>37</v>
      </c>
      <c r="B23" s="6">
        <v>3.4578688857421702</v>
      </c>
      <c r="C23" s="6">
        <v>3.3915655098850301</v>
      </c>
      <c r="D23" s="6">
        <v>3.2818635580141402</v>
      </c>
      <c r="E23">
        <f t="shared" si="0"/>
        <v>3.2818635580141402</v>
      </c>
      <c r="F23" t="str">
        <f t="shared" si="1"/>
        <v>Autosens</v>
      </c>
    </row>
    <row r="24" spans="1:6" x14ac:dyDescent="0.25">
      <c r="A24" s="2" t="s">
        <v>38</v>
      </c>
      <c r="B24" s="7">
        <v>6.3740854843395702</v>
      </c>
      <c r="C24" s="7">
        <v>7.3069764126711503</v>
      </c>
      <c r="D24" s="7">
        <v>6.7369878372063603</v>
      </c>
      <c r="E24">
        <f t="shared" si="0"/>
        <v>6.3740854843395702</v>
      </c>
      <c r="F24" t="str">
        <f t="shared" si="1"/>
        <v>Loop</v>
      </c>
    </row>
    <row r="25" spans="1:6" x14ac:dyDescent="0.25">
      <c r="A25" s="3" t="s">
        <v>39</v>
      </c>
      <c r="B25" s="6">
        <v>3.64157409145934</v>
      </c>
      <c r="C25" s="6">
        <v>3.7676229059457702</v>
      </c>
      <c r="D25" s="6">
        <v>3.7440085994630499</v>
      </c>
      <c r="E25">
        <f t="shared" si="0"/>
        <v>3.64157409145934</v>
      </c>
      <c r="F25" t="str">
        <f t="shared" si="1"/>
        <v>Loop</v>
      </c>
    </row>
    <row r="26" spans="1:6" x14ac:dyDescent="0.25">
      <c r="A26" s="2" t="s">
        <v>40</v>
      </c>
      <c r="B26" s="7">
        <v>10.301039096458499</v>
      </c>
      <c r="C26" s="7">
        <v>11.1217703097299</v>
      </c>
      <c r="D26" s="7">
        <v>10.887744307981899</v>
      </c>
      <c r="E26">
        <f t="shared" si="0"/>
        <v>10.301039096458499</v>
      </c>
      <c r="F26" t="str">
        <f t="shared" si="1"/>
        <v>Loop</v>
      </c>
    </row>
    <row r="27" spans="1:6" x14ac:dyDescent="0.25">
      <c r="A27" s="3" t="s">
        <v>41</v>
      </c>
      <c r="B27" s="6">
        <v>3.2523698308915598</v>
      </c>
      <c r="C27" s="6">
        <v>5.20334416889526</v>
      </c>
      <c r="D27" s="6">
        <v>5.2012528817231898</v>
      </c>
      <c r="E27">
        <f t="shared" si="0"/>
        <v>3.2523698308915598</v>
      </c>
      <c r="F27" t="str">
        <f t="shared" si="1"/>
        <v>Loop</v>
      </c>
    </row>
    <row r="28" spans="1:6" x14ac:dyDescent="0.25">
      <c r="A28" s="2" t="s">
        <v>42</v>
      </c>
      <c r="B28" s="7">
        <v>3.67528734036682</v>
      </c>
      <c r="C28" s="7">
        <v>4.2240350741835702</v>
      </c>
      <c r="D28" s="7">
        <v>4.1952202311807198</v>
      </c>
      <c r="E28">
        <f t="shared" si="0"/>
        <v>3.67528734036682</v>
      </c>
      <c r="F28" t="str">
        <f t="shared" si="1"/>
        <v>Loop</v>
      </c>
    </row>
    <row r="29" spans="1:6" x14ac:dyDescent="0.25">
      <c r="A29" s="3" t="s">
        <v>43</v>
      </c>
      <c r="B29" s="6">
        <v>5.9061966474306402</v>
      </c>
      <c r="C29" s="6">
        <v>6.25256268521363</v>
      </c>
      <c r="D29" s="6">
        <v>6.2657473435516797</v>
      </c>
      <c r="E29">
        <f t="shared" si="0"/>
        <v>5.9061966474306402</v>
      </c>
      <c r="F29" t="str">
        <f t="shared" si="1"/>
        <v>Loop</v>
      </c>
    </row>
    <row r="30" spans="1:6" x14ac:dyDescent="0.25">
      <c r="A30" s="2" t="s">
        <v>44</v>
      </c>
      <c r="B30" s="7">
        <v>1.82202859953177</v>
      </c>
      <c r="C30" s="7">
        <v>2.2851587572755401</v>
      </c>
      <c r="D30" s="7">
        <v>2.24701928303526</v>
      </c>
      <c r="E30">
        <f t="shared" si="0"/>
        <v>1.82202859953177</v>
      </c>
      <c r="F30" t="str">
        <f t="shared" si="1"/>
        <v>Loop</v>
      </c>
    </row>
    <row r="31" spans="1:6" x14ac:dyDescent="0.25">
      <c r="A31" s="3" t="s">
        <v>45</v>
      </c>
      <c r="B31" s="6">
        <v>36.900075034767802</v>
      </c>
      <c r="C31" s="6">
        <v>39.3391323044007</v>
      </c>
      <c r="D31" s="6">
        <v>39.021825169055703</v>
      </c>
      <c r="E31">
        <f t="shared" si="0"/>
        <v>36.900075034767802</v>
      </c>
      <c r="F31" t="str">
        <f t="shared" si="1"/>
        <v>Loop</v>
      </c>
    </row>
    <row r="32" spans="1:6" x14ac:dyDescent="0.25">
      <c r="A32" s="2" t="s">
        <v>46</v>
      </c>
      <c r="B32" s="7">
        <v>2.35695445195211</v>
      </c>
      <c r="C32" s="7">
        <v>2.43599108638226</v>
      </c>
      <c r="D32" s="7">
        <v>2.6424274741545402</v>
      </c>
      <c r="E32">
        <f t="shared" si="0"/>
        <v>2.35695445195211</v>
      </c>
      <c r="F32" t="str">
        <f t="shared" si="1"/>
        <v>Loop</v>
      </c>
    </row>
    <row r="33" spans="1:6" x14ac:dyDescent="0.25">
      <c r="A33" s="3" t="s">
        <v>47</v>
      </c>
      <c r="B33" s="6">
        <v>10.686757725718399</v>
      </c>
      <c r="C33" s="6">
        <v>11.0739413944242</v>
      </c>
      <c r="D33" s="6">
        <v>10.931727014083201</v>
      </c>
      <c r="E33">
        <f t="shared" si="0"/>
        <v>10.686757725718399</v>
      </c>
      <c r="F33" t="str">
        <f t="shared" si="1"/>
        <v>Loop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4F54-254A-4612-A560-D428B794E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Loop</vt:lpstr>
      <vt:lpstr>Autotune</vt:lpstr>
      <vt:lpstr>Autosens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Sigrid Tofte Thiis</dc:creator>
  <cp:lastModifiedBy>Sigrid Tofte Thiis</cp:lastModifiedBy>
  <dcterms:created xsi:type="dcterms:W3CDTF">2026-04-18T09:04:27Z</dcterms:created>
  <dcterms:modified xsi:type="dcterms:W3CDTF">2026-04-18T10:19:08Z</dcterms:modified>
</cp:coreProperties>
</file>